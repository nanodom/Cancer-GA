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ulia\Desktop\Proyecto IO\"/>
    </mc:Choice>
  </mc:AlternateContent>
  <xr:revisionPtr revIDLastSave="0" documentId="13_ncr:1_{7F3AB33B-95E1-4231-B232-7A2CD86A07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6" i="3" l="1"/>
  <c r="AL36" i="3"/>
  <c r="AK37" i="3"/>
  <c r="AL37" i="3"/>
  <c r="AK38" i="3"/>
  <c r="AL38" i="3"/>
  <c r="AK39" i="3"/>
  <c r="AL39" i="3"/>
  <c r="AK40" i="3"/>
  <c r="AL40" i="3"/>
  <c r="AK41" i="3"/>
  <c r="AL41" i="3"/>
  <c r="AK42" i="3"/>
  <c r="AL42" i="3"/>
  <c r="AK43" i="3"/>
  <c r="AL43" i="3"/>
  <c r="AK44" i="3"/>
  <c r="AL44" i="3"/>
  <c r="AK45" i="3"/>
  <c r="AL45" i="3"/>
  <c r="AK46" i="3"/>
  <c r="AL46" i="3"/>
  <c r="AK47" i="3"/>
  <c r="AL47" i="3"/>
  <c r="AK48" i="3"/>
  <c r="AL48" i="3"/>
  <c r="AK49" i="3"/>
  <c r="AL49" i="3"/>
  <c r="AK50" i="3"/>
  <c r="AL50" i="3"/>
  <c r="AK51" i="3"/>
  <c r="AL51" i="3"/>
  <c r="AK52" i="3"/>
  <c r="AL52" i="3"/>
  <c r="AK53" i="3"/>
  <c r="AL53" i="3"/>
  <c r="AK54" i="3"/>
  <c r="AL54" i="3"/>
  <c r="AK55" i="3"/>
  <c r="AL55" i="3"/>
  <c r="AK56" i="3"/>
  <c r="AL56" i="3"/>
  <c r="AK57" i="3"/>
  <c r="AL57" i="3"/>
  <c r="AK58" i="3"/>
  <c r="AL58" i="3"/>
  <c r="AK59" i="3"/>
  <c r="AL59" i="3"/>
  <c r="AK60" i="3"/>
  <c r="AL60" i="3"/>
  <c r="AK61" i="3"/>
  <c r="AL61" i="3"/>
  <c r="AK62" i="3"/>
  <c r="AL62" i="3"/>
  <c r="AL35" i="3"/>
  <c r="AK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5" i="3"/>
  <c r="F32" i="3"/>
  <c r="B4" i="3"/>
  <c r="B5" i="3"/>
  <c r="B6" i="3"/>
  <c r="B7" i="3"/>
  <c r="B8" i="3"/>
  <c r="B3" i="3"/>
  <c r="B10" i="3" s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S3" i="3"/>
  <c r="R3" i="3"/>
  <c r="G36" i="3"/>
  <c r="G37" i="3"/>
  <c r="G38" i="3"/>
  <c r="G39" i="3"/>
  <c r="G48" i="3"/>
  <c r="G49" i="3"/>
  <c r="G50" i="3"/>
  <c r="G51" i="3"/>
  <c r="G60" i="3"/>
  <c r="G61" i="3"/>
  <c r="G62" i="3"/>
  <c r="G35" i="3"/>
  <c r="J4" i="3"/>
  <c r="J5" i="3"/>
  <c r="J6" i="3"/>
  <c r="J7" i="3"/>
  <c r="J8" i="3"/>
  <c r="J9" i="3"/>
  <c r="J10" i="3"/>
  <c r="J11" i="3"/>
  <c r="J12" i="3"/>
  <c r="J13" i="3"/>
  <c r="J14" i="3"/>
  <c r="G46" i="3" s="1"/>
  <c r="J15" i="3"/>
  <c r="G47" i="3" s="1"/>
  <c r="J16" i="3"/>
  <c r="J17" i="3"/>
  <c r="J18" i="3"/>
  <c r="J19" i="3"/>
  <c r="J20" i="3"/>
  <c r="J21" i="3"/>
  <c r="J22" i="3"/>
  <c r="J23" i="3"/>
  <c r="J24" i="3"/>
  <c r="J25" i="3"/>
  <c r="J26" i="3"/>
  <c r="G58" i="3" s="1"/>
  <c r="J27" i="3"/>
  <c r="G59" i="3" s="1"/>
  <c r="J28" i="3"/>
  <c r="J29" i="3"/>
  <c r="J30" i="3"/>
  <c r="J3" i="3"/>
  <c r="I4" i="3"/>
  <c r="I5" i="3"/>
  <c r="I6" i="3"/>
  <c r="I7" i="3"/>
  <c r="I8" i="3"/>
  <c r="G40" i="3" s="1"/>
  <c r="I9" i="3"/>
  <c r="G41" i="3" s="1"/>
  <c r="I10" i="3"/>
  <c r="G42" i="3" s="1"/>
  <c r="I11" i="3"/>
  <c r="G43" i="3" s="1"/>
  <c r="I12" i="3"/>
  <c r="G44" i="3" s="1"/>
  <c r="I13" i="3"/>
  <c r="G45" i="3" s="1"/>
  <c r="I14" i="3"/>
  <c r="I15" i="3"/>
  <c r="I16" i="3"/>
  <c r="I17" i="3"/>
  <c r="I18" i="3"/>
  <c r="I19" i="3"/>
  <c r="I20" i="3"/>
  <c r="G52" i="3" s="1"/>
  <c r="I21" i="3"/>
  <c r="G53" i="3" s="1"/>
  <c r="I22" i="3"/>
  <c r="G54" i="3" s="1"/>
  <c r="I23" i="3"/>
  <c r="G55" i="3" s="1"/>
  <c r="I24" i="3"/>
  <c r="G56" i="3" s="1"/>
  <c r="I25" i="3"/>
  <c r="G57" i="3" s="1"/>
  <c r="I26" i="3"/>
  <c r="I27" i="3"/>
  <c r="I28" i="3"/>
  <c r="I29" i="3"/>
  <c r="I30" i="3"/>
  <c r="I3" i="3"/>
  <c r="K41" i="1"/>
  <c r="L41" i="1"/>
  <c r="J41" i="1"/>
  <c r="K10" i="2"/>
  <c r="K11" i="2"/>
  <c r="K22" i="2"/>
  <c r="K23" i="2"/>
  <c r="K6" i="2"/>
  <c r="R26" i="1"/>
  <c r="S26" i="1" s="1"/>
  <c r="M28" i="2" s="1"/>
  <c r="N28" i="2" s="1"/>
  <c r="R27" i="1"/>
  <c r="S27" i="1" s="1"/>
  <c r="M29" i="2" s="1"/>
  <c r="N29" i="2" s="1"/>
  <c r="R28" i="1"/>
  <c r="S28" i="1" s="1"/>
  <c r="M30" i="2" s="1"/>
  <c r="N30" i="2" s="1"/>
  <c r="R29" i="1"/>
  <c r="R30" i="1"/>
  <c r="R31" i="1"/>
  <c r="R25" i="1"/>
  <c r="S25" i="1" s="1"/>
  <c r="M27" i="2" s="1"/>
  <c r="N27" i="2" s="1"/>
  <c r="R19" i="1"/>
  <c r="S19" i="1" s="1"/>
  <c r="M21" i="2" s="1"/>
  <c r="N21" i="2" s="1"/>
  <c r="R20" i="1"/>
  <c r="S20" i="1" s="1"/>
  <c r="M22" i="2" s="1"/>
  <c r="N22" i="2" s="1"/>
  <c r="R21" i="1"/>
  <c r="S21" i="1" s="1"/>
  <c r="M23" i="2" s="1"/>
  <c r="N23" i="2" s="1"/>
  <c r="R22" i="1"/>
  <c r="S22" i="1" s="1"/>
  <c r="M24" i="2" s="1"/>
  <c r="N24" i="2" s="1"/>
  <c r="R23" i="1"/>
  <c r="S23" i="1" s="1"/>
  <c r="M25" i="2" s="1"/>
  <c r="N25" i="2" s="1"/>
  <c r="R24" i="1"/>
  <c r="S24" i="1" s="1"/>
  <c r="M26" i="2" s="1"/>
  <c r="N26" i="2" s="1"/>
  <c r="R18" i="1"/>
  <c r="S18" i="1" s="1"/>
  <c r="M20" i="2" s="1"/>
  <c r="N20" i="2" s="1"/>
  <c r="S29" i="1"/>
  <c r="M31" i="2" s="1"/>
  <c r="N31" i="2" s="1"/>
  <c r="S30" i="1"/>
  <c r="M32" i="2" s="1"/>
  <c r="N32" i="2" s="1"/>
  <c r="S31" i="1"/>
  <c r="M33" i="2" s="1"/>
  <c r="N33" i="2" s="1"/>
  <c r="R5" i="1"/>
  <c r="S5" i="1" s="1"/>
  <c r="M7" i="2" s="1"/>
  <c r="N7" i="2" s="1"/>
  <c r="R6" i="1"/>
  <c r="S6" i="1" s="1"/>
  <c r="M8" i="2" s="1"/>
  <c r="N8" i="2" s="1"/>
  <c r="R7" i="1"/>
  <c r="S7" i="1" s="1"/>
  <c r="M9" i="2" s="1"/>
  <c r="N9" i="2" s="1"/>
  <c r="R8" i="1"/>
  <c r="S8" i="1" s="1"/>
  <c r="M10" i="2" s="1"/>
  <c r="N10" i="2" s="1"/>
  <c r="R9" i="1"/>
  <c r="S9" i="1" s="1"/>
  <c r="M11" i="2" s="1"/>
  <c r="N11" i="2" s="1"/>
  <c r="R10" i="1"/>
  <c r="S10" i="1" s="1"/>
  <c r="M12" i="2" s="1"/>
  <c r="N12" i="2" s="1"/>
  <c r="R11" i="1"/>
  <c r="S11" i="1" s="1"/>
  <c r="M13" i="2" s="1"/>
  <c r="N13" i="2" s="1"/>
  <c r="R12" i="1"/>
  <c r="S12" i="1" s="1"/>
  <c r="M14" i="2" s="1"/>
  <c r="N14" i="2" s="1"/>
  <c r="R13" i="1"/>
  <c r="S13" i="1" s="1"/>
  <c r="M15" i="2" s="1"/>
  <c r="N15" i="2" s="1"/>
  <c r="R14" i="1"/>
  <c r="S14" i="1" s="1"/>
  <c r="M16" i="2" s="1"/>
  <c r="N16" i="2" s="1"/>
  <c r="R15" i="1"/>
  <c r="S15" i="1" s="1"/>
  <c r="M17" i="2" s="1"/>
  <c r="N17" i="2" s="1"/>
  <c r="R16" i="1"/>
  <c r="S16" i="1" s="1"/>
  <c r="M18" i="2" s="1"/>
  <c r="N18" i="2" s="1"/>
  <c r="R17" i="1"/>
  <c r="S17" i="1" s="1"/>
  <c r="M19" i="2" s="1"/>
  <c r="N19" i="2" s="1"/>
  <c r="R4" i="1"/>
  <c r="S4" i="1" s="1"/>
  <c r="M6" i="2" s="1"/>
  <c r="N6" i="2" s="1"/>
  <c r="Q5" i="1"/>
  <c r="P6" i="1"/>
  <c r="L8" i="2" s="1"/>
  <c r="O8" i="2" s="1"/>
  <c r="P10" i="1"/>
  <c r="P11" i="1"/>
  <c r="L13" i="2" s="1"/>
  <c r="O13" i="2" s="1"/>
  <c r="P12" i="1"/>
  <c r="L14" i="2" s="1"/>
  <c r="O14" i="2" s="1"/>
  <c r="Q14" i="1"/>
  <c r="Q15" i="1"/>
  <c r="Q16" i="1"/>
  <c r="Q17" i="1"/>
  <c r="P18" i="1"/>
  <c r="L20" i="2" s="1"/>
  <c r="O20" i="2" s="1"/>
  <c r="P22" i="1"/>
  <c r="P23" i="1"/>
  <c r="L25" i="2" s="1"/>
  <c r="O25" i="2" s="1"/>
  <c r="P24" i="1"/>
  <c r="Q26" i="1"/>
  <c r="Q27" i="1"/>
  <c r="Q28" i="1"/>
  <c r="Q29" i="1"/>
  <c r="P30" i="1"/>
  <c r="L32" i="2" s="1"/>
  <c r="O32" i="2" s="1"/>
  <c r="O5" i="1"/>
  <c r="O6" i="1"/>
  <c r="Q6" i="1" s="1"/>
  <c r="O7" i="1"/>
  <c r="Q7" i="1" s="1"/>
  <c r="O8" i="1"/>
  <c r="Q8" i="1" s="1"/>
  <c r="O9" i="1"/>
  <c r="Q9" i="1" s="1"/>
  <c r="O10" i="1"/>
  <c r="Q10" i="1" s="1"/>
  <c r="L12" i="2" s="1"/>
  <c r="O12" i="2" s="1"/>
  <c r="O11" i="1"/>
  <c r="Q11" i="1" s="1"/>
  <c r="O12" i="1"/>
  <c r="Q12" i="1" s="1"/>
  <c r="O13" i="1"/>
  <c r="Q13" i="1" s="1"/>
  <c r="O14" i="1"/>
  <c r="O15" i="1"/>
  <c r="O16" i="1"/>
  <c r="O17" i="1"/>
  <c r="O18" i="1"/>
  <c r="Q18" i="1" s="1"/>
  <c r="O19" i="1"/>
  <c r="Q19" i="1" s="1"/>
  <c r="O20" i="1"/>
  <c r="Q20" i="1" s="1"/>
  <c r="O21" i="1"/>
  <c r="Q21" i="1" s="1"/>
  <c r="O22" i="1"/>
  <c r="Q22" i="1" s="1"/>
  <c r="L24" i="2" s="1"/>
  <c r="O24" i="2" s="1"/>
  <c r="O23" i="1"/>
  <c r="Q23" i="1" s="1"/>
  <c r="O24" i="1"/>
  <c r="Q24" i="1" s="1"/>
  <c r="O25" i="1"/>
  <c r="Q25" i="1" s="1"/>
  <c r="O26" i="1"/>
  <c r="O27" i="1"/>
  <c r="O28" i="1"/>
  <c r="O29" i="1"/>
  <c r="O30" i="1"/>
  <c r="Q30" i="1" s="1"/>
  <c r="O31" i="1"/>
  <c r="Q31" i="1" s="1"/>
  <c r="O4" i="1"/>
  <c r="Q4" i="1" s="1"/>
  <c r="N5" i="1"/>
  <c r="P5" i="1" s="1"/>
  <c r="L7" i="2" s="1"/>
  <c r="O7" i="2" s="1"/>
  <c r="N6" i="1"/>
  <c r="K8" i="2" s="1"/>
  <c r="N7" i="1"/>
  <c r="K9" i="2" s="1"/>
  <c r="N8" i="1"/>
  <c r="P8" i="1" s="1"/>
  <c r="L10" i="2" s="1"/>
  <c r="O10" i="2" s="1"/>
  <c r="N9" i="1"/>
  <c r="P9" i="1" s="1"/>
  <c r="L11" i="2" s="1"/>
  <c r="O11" i="2" s="1"/>
  <c r="N10" i="1"/>
  <c r="K12" i="2" s="1"/>
  <c r="N11" i="1"/>
  <c r="K13" i="2" s="1"/>
  <c r="N12" i="1"/>
  <c r="K14" i="2" s="1"/>
  <c r="N13" i="1"/>
  <c r="P13" i="1" s="1"/>
  <c r="N14" i="1"/>
  <c r="P14" i="1" s="1"/>
  <c r="L16" i="2" s="1"/>
  <c r="O16" i="2" s="1"/>
  <c r="N15" i="1"/>
  <c r="P15" i="1" s="1"/>
  <c r="L17" i="2" s="1"/>
  <c r="O17" i="2" s="1"/>
  <c r="N16" i="1"/>
  <c r="P16" i="1" s="1"/>
  <c r="L18" i="2" s="1"/>
  <c r="O18" i="2" s="1"/>
  <c r="N17" i="1"/>
  <c r="P17" i="1" s="1"/>
  <c r="L19" i="2" s="1"/>
  <c r="O19" i="2" s="1"/>
  <c r="N18" i="1"/>
  <c r="K20" i="2" s="1"/>
  <c r="N19" i="1"/>
  <c r="P19" i="1" s="1"/>
  <c r="L21" i="2" s="1"/>
  <c r="O21" i="2" s="1"/>
  <c r="N20" i="1"/>
  <c r="P20" i="1" s="1"/>
  <c r="L22" i="2" s="1"/>
  <c r="O22" i="2" s="1"/>
  <c r="N21" i="1"/>
  <c r="P21" i="1" s="1"/>
  <c r="L23" i="2" s="1"/>
  <c r="O23" i="2" s="1"/>
  <c r="N22" i="1"/>
  <c r="K24" i="2" s="1"/>
  <c r="N23" i="1"/>
  <c r="K25" i="2" s="1"/>
  <c r="N24" i="1"/>
  <c r="K26" i="2" s="1"/>
  <c r="N25" i="1"/>
  <c r="P25" i="1" s="1"/>
  <c r="N26" i="1"/>
  <c r="P26" i="1" s="1"/>
  <c r="L28" i="2" s="1"/>
  <c r="O28" i="2" s="1"/>
  <c r="N27" i="1"/>
  <c r="K29" i="2" s="1"/>
  <c r="N28" i="1"/>
  <c r="P28" i="1" s="1"/>
  <c r="L30" i="2" s="1"/>
  <c r="O30" i="2" s="1"/>
  <c r="N29" i="1"/>
  <c r="P29" i="1" s="1"/>
  <c r="L31" i="2" s="1"/>
  <c r="O31" i="2" s="1"/>
  <c r="N30" i="1"/>
  <c r="K32" i="2" s="1"/>
  <c r="N31" i="1"/>
  <c r="P31" i="1" s="1"/>
  <c r="L33" i="2" s="1"/>
  <c r="O33" i="2" s="1"/>
  <c r="N4" i="1"/>
  <c r="P4" i="1" s="1"/>
  <c r="L6" i="2" s="1"/>
  <c r="O6" i="2" s="1"/>
  <c r="L26" i="2" l="1"/>
  <c r="O26" i="2" s="1"/>
  <c r="L27" i="2"/>
  <c r="O27" i="2" s="1"/>
  <c r="L15" i="2"/>
  <c r="O15" i="2" s="1"/>
  <c r="K33" i="2"/>
  <c r="K31" i="2"/>
  <c r="K7" i="2"/>
  <c r="P27" i="1"/>
  <c r="L29" i="2" s="1"/>
  <c r="O29" i="2" s="1"/>
  <c r="K17" i="2"/>
  <c r="K19" i="2"/>
  <c r="K18" i="2"/>
  <c r="K28" i="2"/>
  <c r="K16" i="2"/>
  <c r="K30" i="2"/>
  <c r="K27" i="2"/>
  <c r="K15" i="2"/>
  <c r="K21" i="2"/>
  <c r="P7" i="1"/>
  <c r="L9" i="2" s="1"/>
  <c r="O9" i="2" s="1"/>
  <c r="Q7" i="2"/>
</calcChain>
</file>

<file path=xl/sharedStrings.xml><?xml version="1.0" encoding="utf-8"?>
<sst xmlns="http://schemas.openxmlformats.org/spreadsheetml/2006/main" count="229" uniqueCount="54">
  <si>
    <t>ETAPA</t>
  </si>
  <si>
    <t>SECCIÓN</t>
  </si>
  <si>
    <t>Año de plantación</t>
  </si>
  <si>
    <t>Variedades</t>
  </si>
  <si>
    <t>Densidad (Pl/Há)</t>
  </si>
  <si>
    <t>Hás</t>
  </si>
  <si>
    <t>Nº de plantas / variedad</t>
  </si>
  <si>
    <t>Estimación kilos/ plantas / variedad</t>
  </si>
  <si>
    <t>Estimación total / kilos /variedad /cuartel</t>
  </si>
  <si>
    <t>Kilos Real</t>
  </si>
  <si>
    <t>Kg Real / Estimado</t>
  </si>
  <si>
    <t>Avance respecto a Superficie</t>
  </si>
  <si>
    <t>A</t>
  </si>
  <si>
    <t>Arbequina</t>
  </si>
  <si>
    <t>Frantoio</t>
  </si>
  <si>
    <t>B</t>
  </si>
  <si>
    <t>Coratina</t>
  </si>
  <si>
    <t>C</t>
  </si>
  <si>
    <t>D</t>
  </si>
  <si>
    <t>E</t>
  </si>
  <si>
    <t>Leccino</t>
  </si>
  <si>
    <t>F</t>
  </si>
  <si>
    <t>Biancolilla</t>
  </si>
  <si>
    <t>Noccelara</t>
  </si>
  <si>
    <t>SB</t>
  </si>
  <si>
    <t>2A</t>
  </si>
  <si>
    <t>2C</t>
  </si>
  <si>
    <t xml:space="preserve"> Kilos</t>
  </si>
  <si>
    <t>Litros AOEV</t>
  </si>
  <si>
    <t>Agua</t>
  </si>
  <si>
    <t>etapa 1</t>
  </si>
  <si>
    <t>etapa 2</t>
  </si>
  <si>
    <t>etapa 3</t>
  </si>
  <si>
    <t>Cuartel</t>
  </si>
  <si>
    <t>Kilos</t>
  </si>
  <si>
    <t>Costos</t>
  </si>
  <si>
    <t>Ingresos</t>
  </si>
  <si>
    <t>Ingresos-Costos</t>
  </si>
  <si>
    <t>Varieties</t>
  </si>
  <si>
    <t>Surface</t>
  </si>
  <si>
    <t>Hás_min</t>
  </si>
  <si>
    <t>Hás_max</t>
  </si>
  <si>
    <t>Agua_min</t>
  </si>
  <si>
    <t>Agua_max</t>
  </si>
  <si>
    <t>Costos_min</t>
  </si>
  <si>
    <t>Costos_max</t>
  </si>
  <si>
    <t>Kilos_min</t>
  </si>
  <si>
    <t>Kilos_max</t>
  </si>
  <si>
    <t>Litros_min</t>
  </si>
  <si>
    <t>Litros_max</t>
  </si>
  <si>
    <t>Ingresos_min</t>
  </si>
  <si>
    <t>Ingresos_max</t>
  </si>
  <si>
    <t>USD</t>
  </si>
  <si>
    <t>dolar 1/7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</si>
</sst>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 * #,##0_ ;_ * \-#,##0_ ;_ * &quot;-&quot;_ ;_ @_ "/>
    <numFmt numFmtId="164" formatCode="_-* #,##0.00_-;\-* #,##0.00_-;_-* &quot;-&quot;??_-;_-@_-"/>
    <numFmt numFmtId="165" formatCode="0.0"/>
    <numFmt numFmtId="166" formatCode="_-* #,##0_-;\-* #,##0_-;_-* &quot;-&quot;??_-;_-@_-"/>
    <numFmt numFmtId="167" formatCode="#,##0.0"/>
    <numFmt numFmtId="168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fgColor theme="0" tint="-0.14996795556505021"/>
        <bgColor indexed="65"/>
      </patternFill>
    </fill>
    <fill>
      <patternFill patternType="gray0625">
        <fgColor theme="0" tint="-0.14996795556505021"/>
        <bgColor rgb="FF92D050"/>
      </patternFill>
    </fill>
    <fill>
      <patternFill patternType="gray0625">
        <fgColor theme="0" tint="-0.14996795556505021"/>
        <bgColor rgb="FFFFFF00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54">
    <xf numFmtId="0" fontId="0" fillId="0" borderId="0" xfId="0"/>
    <xf numFmtId="0" fontId="5" fillId="0" borderId="1" xfId="4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1" fontId="4" fillId="3" borderId="1" xfId="3" applyFont="1" applyFill="1" applyBorder="1"/>
    <xf numFmtId="3" fontId="5" fillId="4" borderId="1" xfId="4" applyNumberFormat="1" applyFont="1" applyFill="1" applyBorder="1" applyAlignment="1">
      <alignment horizontal="center" vertical="center" wrapText="1"/>
    </xf>
    <xf numFmtId="167" fontId="5" fillId="4" borderId="1" xfId="4" applyNumberFormat="1" applyFont="1" applyFill="1" applyBorder="1" applyAlignment="1">
      <alignment horizontal="center" vertical="center" wrapText="1"/>
    </xf>
    <xf numFmtId="41" fontId="5" fillId="4" borderId="1" xfId="3" applyFont="1" applyFill="1" applyBorder="1" applyAlignment="1">
      <alignment horizontal="center" vertical="center" wrapText="1"/>
    </xf>
    <xf numFmtId="165" fontId="5" fillId="4" borderId="1" xfId="4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1" fontId="4" fillId="4" borderId="1" xfId="3" applyFont="1" applyFill="1" applyBorder="1"/>
    <xf numFmtId="9" fontId="4" fillId="4" borderId="0" xfId="0" applyNumberFormat="1" applyFont="1" applyFill="1"/>
    <xf numFmtId="9" fontId="4" fillId="4" borderId="0" xfId="1" applyFont="1" applyFill="1"/>
    <xf numFmtId="0" fontId="6" fillId="5" borderId="1" xfId="0" applyFont="1" applyFill="1" applyBorder="1" applyAlignment="1">
      <alignment horizontal="center" vertical="center" wrapText="1"/>
    </xf>
    <xf numFmtId="166" fontId="7" fillId="6" borderId="1" xfId="2" applyNumberFormat="1" applyFont="1" applyFill="1" applyBorder="1" applyAlignment="1">
      <alignment vertical="center" wrapText="1"/>
    </xf>
    <xf numFmtId="9" fontId="7" fillId="4" borderId="0" xfId="0" applyNumberFormat="1" applyFont="1" applyFill="1"/>
    <xf numFmtId="9" fontId="7" fillId="4" borderId="0" xfId="1" applyFont="1" applyFill="1"/>
    <xf numFmtId="166" fontId="7" fillId="6" borderId="1" xfId="2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1" fontId="5" fillId="4" borderId="1" xfId="3" applyFont="1" applyFill="1" applyBorder="1"/>
    <xf numFmtId="166" fontId="6" fillId="6" borderId="1" xfId="2" applyNumberFormat="1" applyFont="1" applyFill="1" applyBorder="1" applyAlignment="1">
      <alignment vertical="center" wrapText="1"/>
    </xf>
    <xf numFmtId="9" fontId="4" fillId="4" borderId="2" xfId="1" applyFont="1" applyFill="1" applyBorder="1" applyAlignment="1">
      <alignment vertical="center"/>
    </xf>
    <xf numFmtId="9" fontId="4" fillId="3" borderId="2" xfId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3" fontId="5" fillId="3" borderId="1" xfId="4" applyNumberFormat="1" applyFont="1" applyFill="1" applyBorder="1" applyAlignment="1">
      <alignment horizontal="center" vertical="center" wrapText="1"/>
    </xf>
    <xf numFmtId="165" fontId="5" fillId="3" borderId="1" xfId="4" applyNumberFormat="1" applyFont="1" applyFill="1" applyBorder="1" applyAlignment="1">
      <alignment horizontal="center" vertical="center" wrapText="1"/>
    </xf>
    <xf numFmtId="41" fontId="5" fillId="3" borderId="1" xfId="3" applyFont="1" applyFill="1" applyBorder="1" applyAlignment="1">
      <alignment horizontal="center" vertical="center" wrapText="1"/>
    </xf>
    <xf numFmtId="166" fontId="7" fillId="7" borderId="1" xfId="2" applyNumberFormat="1" applyFont="1" applyFill="1" applyBorder="1"/>
    <xf numFmtId="9" fontId="7" fillId="3" borderId="0" xfId="0" applyNumberFormat="1" applyFont="1" applyFill="1"/>
    <xf numFmtId="9" fontId="4" fillId="3" borderId="0" xfId="0" applyNumberFormat="1" applyFont="1" applyFill="1"/>
    <xf numFmtId="0" fontId="6" fillId="7" borderId="1" xfId="0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  <xf numFmtId="3" fontId="0" fillId="0" borderId="0" xfId="0" applyNumberFormat="1"/>
    <xf numFmtId="0" fontId="2" fillId="0" borderId="1" xfId="0" applyFont="1" applyBorder="1"/>
    <xf numFmtId="0" fontId="6" fillId="3" borderId="2" xfId="4" applyFont="1" applyFill="1" applyBorder="1" applyAlignment="1">
      <alignment horizontal="center" vertical="center" wrapText="1"/>
    </xf>
    <xf numFmtId="167" fontId="0" fillId="0" borderId="0" xfId="0" applyNumberFormat="1"/>
    <xf numFmtId="3" fontId="5" fillId="4" borderId="3" xfId="4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4" xfId="4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6" fillId="8" borderId="1" xfId="4" applyFont="1" applyFill="1" applyBorder="1" applyAlignment="1">
      <alignment horizontal="center" vertical="center" wrapText="1"/>
    </xf>
    <xf numFmtId="165" fontId="0" fillId="0" borderId="0" xfId="0" applyNumberFormat="1"/>
    <xf numFmtId="0" fontId="8" fillId="0" borderId="0" xfId="0" applyFont="1"/>
    <xf numFmtId="167" fontId="5" fillId="3" borderId="1" xfId="4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 wrapText="1"/>
    </xf>
    <xf numFmtId="1" fontId="5" fillId="4" borderId="1" xfId="4" applyNumberFormat="1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</cellXfs>
  <cellStyles count="7">
    <cellStyle name="Millares [0] 2" xfId="3" xr:uid="{00000000-0005-0000-0000-000000000000}"/>
    <cellStyle name="Millares [0] 3" xfId="6" xr:uid="{00000000-0005-0000-0000-000001000000}"/>
    <cellStyle name="Millares 2" xfId="2" xr:uid="{00000000-0005-0000-0000-000002000000}"/>
    <cellStyle name="Millares 3" xfId="5" xr:uid="{00000000-0005-0000-0000-000003000000}"/>
    <cellStyle name="Normal" xfId="0" builtinId="0"/>
    <cellStyle name="Normal 2" xfId="4" xr:uid="{00000000-0005-0000-0000-000005000000}"/>
    <cellStyle name="Porcentaje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>
          <bgColor rgb="FFF8F8F8"/>
        </patternFill>
      </fill>
    </dxf>
    <dxf>
      <font>
        <b val="0"/>
        <i val="0"/>
      </font>
      <border>
        <top style="thin">
          <color theme="6"/>
        </top>
        <bottom style="thin">
          <color theme="6"/>
        </bottom>
      </border>
    </dxf>
    <dxf>
      <border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b val="0"/>
        <i val="0"/>
        <color theme="6"/>
      </font>
      <fill>
        <patternFill>
          <bgColor rgb="FFF8F8F8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border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/>
        <right/>
        <top/>
        <bottom/>
      </border>
    </dxf>
  </dxfs>
  <tableStyles count="2" defaultTableStyle="TableStyleMedium2" defaultPivotStyle="PivotStyleLight16">
    <tableStyle name="Estilo de segmentación de datos 1" pivot="0" table="0" count="1" xr9:uid="{00000000-0011-0000-FFFF-FFFF00000000}">
      <tableStyleElement type="wholeTable" dxfId="11"/>
    </tableStyle>
    <tableStyle name="Estilo de tabla 1" pivot="0" count="5" xr9:uid="{00000000-0011-0000-FFFF-FFFF01000000}">
      <tableStyleElement type="wholeTable" dxfId="10"/>
      <tableStyleElement type="headerRow" dxfId="9"/>
      <tableStyleElement type="firstColumn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D2:D30" totalsRowShown="0" headerRowDxfId="5" dataDxfId="3" headerRowBorderDxfId="4" tableBorderDxfId="2" totalsRowBorderDxfId="1" headerRowCellStyle="Normal 2">
  <autoFilter ref="D2:D30" xr:uid="{00000000-0009-0000-0100-000001000000}"/>
  <tableColumns count="1">
    <tableColumn id="1" xr3:uid="{00000000-0010-0000-0000-000001000000}" name="Variedad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41"/>
  <sheetViews>
    <sheetView tabSelected="1" zoomScale="85" zoomScaleNormal="85" workbookViewId="0">
      <selection activeCell="U8" sqref="U8"/>
    </sheetView>
  </sheetViews>
  <sheetFormatPr baseColWidth="10" defaultRowHeight="14.4" x14ac:dyDescent="0.3"/>
  <cols>
    <col min="16" max="16" width="12.5546875" bestFit="1" customWidth="1"/>
  </cols>
  <sheetData>
    <row r="3" spans="2:19" ht="55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31" t="s">
        <v>5</v>
      </c>
      <c r="H3" s="1" t="s">
        <v>6</v>
      </c>
      <c r="I3" s="1" t="s">
        <v>7</v>
      </c>
      <c r="J3" s="1" t="s">
        <v>8</v>
      </c>
      <c r="K3" s="13" t="s">
        <v>9</v>
      </c>
      <c r="L3" s="3" t="s">
        <v>10</v>
      </c>
      <c r="M3" s="2" t="s">
        <v>11</v>
      </c>
      <c r="N3" s="30" t="s">
        <v>27</v>
      </c>
      <c r="O3" s="30" t="s">
        <v>27</v>
      </c>
      <c r="P3" s="30" t="s">
        <v>28</v>
      </c>
      <c r="Q3" s="30" t="s">
        <v>28</v>
      </c>
      <c r="R3" s="30" t="s">
        <v>29</v>
      </c>
      <c r="S3" s="30" t="s">
        <v>29</v>
      </c>
    </row>
    <row r="4" spans="2:19" x14ac:dyDescent="0.3">
      <c r="B4" s="52">
        <v>1</v>
      </c>
      <c r="C4" s="50" t="s">
        <v>12</v>
      </c>
      <c r="D4" s="51">
        <v>2007</v>
      </c>
      <c r="E4" s="5" t="s">
        <v>13</v>
      </c>
      <c r="F4" s="5">
        <v>833</v>
      </c>
      <c r="G4" s="6">
        <v>27.4</v>
      </c>
      <c r="H4" s="7">
        <v>22824.199999999997</v>
      </c>
      <c r="I4" s="8">
        <v>9.6240263897529825</v>
      </c>
      <c r="J4" s="7">
        <v>219660.703125</v>
      </c>
      <c r="K4" s="14">
        <v>208680</v>
      </c>
      <c r="L4" s="21">
        <v>0.95001061651545682</v>
      </c>
      <c r="M4" s="15">
        <v>1</v>
      </c>
      <c r="N4" s="7">
        <f>MIN(J4:K4)</f>
        <v>208680</v>
      </c>
      <c r="O4" s="7">
        <f>MAX(J4:K4)</f>
        <v>219660.703125</v>
      </c>
      <c r="P4" s="7">
        <f>0.181*N4</f>
        <v>37771.08</v>
      </c>
      <c r="Q4" s="7">
        <f>0.181*O4</f>
        <v>39758.587265624999</v>
      </c>
      <c r="R4" s="7">
        <f>G4/SUM($G$4:$G$17)*$J$35</f>
        <v>88998.747581452422</v>
      </c>
      <c r="S4" s="7">
        <f ca="1">R4*(1+RANDBETWEEN(0.05,0.08))</f>
        <v>177997.49516290484</v>
      </c>
    </row>
    <row r="5" spans="2:19" x14ac:dyDescent="0.3">
      <c r="B5" s="52"/>
      <c r="C5" s="50"/>
      <c r="D5" s="51"/>
      <c r="E5" s="5" t="s">
        <v>14</v>
      </c>
      <c r="F5" s="5">
        <v>417</v>
      </c>
      <c r="G5" s="6">
        <v>11.3</v>
      </c>
      <c r="H5" s="7">
        <v>4712.1000000000004</v>
      </c>
      <c r="I5" s="8">
        <v>5.3411126977052987</v>
      </c>
      <c r="J5" s="7">
        <v>25167.857142857141</v>
      </c>
      <c r="K5" s="14">
        <v>17821</v>
      </c>
      <c r="L5" s="21">
        <v>0.70808571023130407</v>
      </c>
      <c r="M5" s="15">
        <v>1</v>
      </c>
      <c r="N5" s="7">
        <f t="shared" ref="N5:N31" si="0">MIN(J5:K5)</f>
        <v>17821</v>
      </c>
      <c r="O5" s="7">
        <f t="shared" ref="O5:O31" si="1">MAX(J5:K5)</f>
        <v>25167.857142857141</v>
      </c>
      <c r="P5" s="7">
        <f t="shared" ref="P5:P31" si="2">0.181*N5</f>
        <v>3225.6010000000001</v>
      </c>
      <c r="Q5" s="7">
        <f t="shared" ref="Q5:Q31" si="3">0.181*O5</f>
        <v>4555.3821428571428</v>
      </c>
      <c r="R5" s="7">
        <f t="shared" ref="R5:R17" si="4">G5/SUM($G$4:$G$17)*$J$35</f>
        <v>36703.863053664689</v>
      </c>
      <c r="S5" s="7">
        <f t="shared" ref="S5:S31" ca="1" si="5">R5*(1+RANDBETWEEN(0.05,0.08))</f>
        <v>73407.726107329378</v>
      </c>
    </row>
    <row r="6" spans="2:19" x14ac:dyDescent="0.3">
      <c r="B6" s="52"/>
      <c r="C6" s="50" t="s">
        <v>15</v>
      </c>
      <c r="D6" s="51">
        <v>2007</v>
      </c>
      <c r="E6" s="5" t="s">
        <v>13</v>
      </c>
      <c r="F6" s="5">
        <v>833</v>
      </c>
      <c r="G6" s="6">
        <v>32.200000000000003</v>
      </c>
      <c r="H6" s="7">
        <v>26822.600000000002</v>
      </c>
      <c r="I6" s="8">
        <v>9.9698015852303641</v>
      </c>
      <c r="J6" s="7">
        <v>267416</v>
      </c>
      <c r="K6" s="14">
        <v>265600</v>
      </c>
      <c r="L6" s="21">
        <v>0.99320908247823614</v>
      </c>
      <c r="M6" s="15">
        <v>1</v>
      </c>
      <c r="N6" s="7">
        <f t="shared" si="0"/>
        <v>265600</v>
      </c>
      <c r="O6" s="7">
        <f t="shared" si="1"/>
        <v>267416</v>
      </c>
      <c r="P6" s="7">
        <f t="shared" si="2"/>
        <v>48073.599999999999</v>
      </c>
      <c r="Q6" s="7">
        <f t="shared" si="3"/>
        <v>48402.296000000002</v>
      </c>
      <c r="R6" s="7">
        <f t="shared" si="4"/>
        <v>104589.76905557548</v>
      </c>
      <c r="S6" s="7">
        <f t="shared" ca="1" si="5"/>
        <v>209179.53811115096</v>
      </c>
    </row>
    <row r="7" spans="2:19" x14ac:dyDescent="0.3">
      <c r="B7" s="52"/>
      <c r="C7" s="50"/>
      <c r="D7" s="51"/>
      <c r="E7" s="5" t="s">
        <v>14</v>
      </c>
      <c r="F7" s="5">
        <v>417</v>
      </c>
      <c r="G7" s="6">
        <v>8.1999999999999993</v>
      </c>
      <c r="H7" s="7">
        <v>3419.3999999999996</v>
      </c>
      <c r="I7" s="8">
        <v>1.4487974080665782</v>
      </c>
      <c r="J7" s="7">
        <v>4954.0178571428569</v>
      </c>
      <c r="K7" s="14">
        <v>5080</v>
      </c>
      <c r="L7" s="21">
        <v>1.0254302964765252</v>
      </c>
      <c r="M7" s="15">
        <v>1</v>
      </c>
      <c r="N7" s="7">
        <f t="shared" si="0"/>
        <v>4954.0178571428569</v>
      </c>
      <c r="O7" s="7">
        <f t="shared" si="1"/>
        <v>5080</v>
      </c>
      <c r="P7" s="7">
        <f t="shared" si="2"/>
        <v>896.67723214285706</v>
      </c>
      <c r="Q7" s="7">
        <f t="shared" si="3"/>
        <v>919.48</v>
      </c>
      <c r="R7" s="7">
        <f t="shared" si="4"/>
        <v>26634.661684960214</v>
      </c>
      <c r="S7" s="7">
        <f t="shared" ca="1" si="5"/>
        <v>53269.323369920428</v>
      </c>
    </row>
    <row r="8" spans="2:19" x14ac:dyDescent="0.3">
      <c r="B8" s="52"/>
      <c r="C8" s="50"/>
      <c r="D8" s="51"/>
      <c r="E8" s="5" t="s">
        <v>16</v>
      </c>
      <c r="F8" s="5">
        <v>417</v>
      </c>
      <c r="G8" s="6">
        <v>6.2</v>
      </c>
      <c r="H8" s="7">
        <v>2585.4</v>
      </c>
      <c r="I8" s="8">
        <v>15.372393329575971</v>
      </c>
      <c r="J8" s="7">
        <v>39743.785714285717</v>
      </c>
      <c r="K8" s="14">
        <v>49900</v>
      </c>
      <c r="L8" s="21">
        <v>1.2555421961744242</v>
      </c>
      <c r="M8" s="11">
        <v>1</v>
      </c>
      <c r="N8" s="7">
        <f t="shared" si="0"/>
        <v>39743.785714285717</v>
      </c>
      <c r="O8" s="7">
        <f t="shared" si="1"/>
        <v>49900</v>
      </c>
      <c r="P8" s="7">
        <f t="shared" si="2"/>
        <v>7193.6252142857147</v>
      </c>
      <c r="Q8" s="7">
        <f t="shared" si="3"/>
        <v>9031.9</v>
      </c>
      <c r="R8" s="7">
        <f t="shared" si="4"/>
        <v>20138.402737408942</v>
      </c>
      <c r="S8" s="7">
        <f t="shared" ca="1" si="5"/>
        <v>40276.805474817884</v>
      </c>
    </row>
    <row r="9" spans="2:19" x14ac:dyDescent="0.3">
      <c r="B9" s="52"/>
      <c r="C9" s="50" t="s">
        <v>17</v>
      </c>
      <c r="D9" s="51">
        <v>2007</v>
      </c>
      <c r="E9" s="5" t="s">
        <v>13</v>
      </c>
      <c r="F9" s="5">
        <v>833</v>
      </c>
      <c r="G9" s="6">
        <v>28</v>
      </c>
      <c r="H9" s="7">
        <v>23324</v>
      </c>
      <c r="I9" s="8">
        <v>8.3677182837420681</v>
      </c>
      <c r="J9" s="7">
        <v>195168.66125</v>
      </c>
      <c r="K9" s="14">
        <v>186680</v>
      </c>
      <c r="L9" s="21">
        <v>0.95650602306931587</v>
      </c>
      <c r="M9" s="15">
        <v>1</v>
      </c>
      <c r="N9" s="7">
        <f t="shared" si="0"/>
        <v>186680</v>
      </c>
      <c r="O9" s="7">
        <f t="shared" si="1"/>
        <v>195168.66125</v>
      </c>
      <c r="P9" s="7">
        <f t="shared" si="2"/>
        <v>33789.08</v>
      </c>
      <c r="Q9" s="7">
        <f t="shared" si="3"/>
        <v>35325.527686250003</v>
      </c>
      <c r="R9" s="7">
        <f t="shared" si="4"/>
        <v>90947.625265717812</v>
      </c>
      <c r="S9" s="7">
        <f t="shared" ca="1" si="5"/>
        <v>181895.25053143562</v>
      </c>
    </row>
    <row r="10" spans="2:19" x14ac:dyDescent="0.3">
      <c r="B10" s="52"/>
      <c r="C10" s="50"/>
      <c r="D10" s="51"/>
      <c r="E10" s="5" t="s">
        <v>16</v>
      </c>
      <c r="F10" s="5">
        <v>417</v>
      </c>
      <c r="G10" s="6">
        <v>12.3</v>
      </c>
      <c r="H10" s="7">
        <v>5129.1000000000004</v>
      </c>
      <c r="I10" s="8">
        <v>15.133816291914203</v>
      </c>
      <c r="J10" s="7">
        <v>77622.857142857145</v>
      </c>
      <c r="K10" s="14">
        <v>104545</v>
      </c>
      <c r="L10" s="21">
        <v>1.3468326707891638</v>
      </c>
      <c r="M10" s="11">
        <v>1</v>
      </c>
      <c r="N10" s="7">
        <f t="shared" si="0"/>
        <v>77622.857142857145</v>
      </c>
      <c r="O10" s="7">
        <f t="shared" si="1"/>
        <v>104545</v>
      </c>
      <c r="P10" s="7">
        <f t="shared" si="2"/>
        <v>14049.737142857142</v>
      </c>
      <c r="Q10" s="7">
        <f t="shared" si="3"/>
        <v>18922.645</v>
      </c>
      <c r="R10" s="7">
        <f t="shared" si="4"/>
        <v>39951.992527440321</v>
      </c>
      <c r="S10" s="7">
        <f t="shared" ca="1" si="5"/>
        <v>79903.985054880643</v>
      </c>
    </row>
    <row r="11" spans="2:19" x14ac:dyDescent="0.3">
      <c r="B11" s="52"/>
      <c r="C11" s="50" t="s">
        <v>18</v>
      </c>
      <c r="D11" s="51">
        <v>2007</v>
      </c>
      <c r="E11" s="5" t="s">
        <v>13</v>
      </c>
      <c r="F11" s="5">
        <v>833</v>
      </c>
      <c r="G11" s="6">
        <v>17.100000000000001</v>
      </c>
      <c r="H11" s="7">
        <v>14244.300000000001</v>
      </c>
      <c r="I11" s="8">
        <v>8.9628943682736253</v>
      </c>
      <c r="J11" s="7">
        <v>127670.15625</v>
      </c>
      <c r="K11" s="14">
        <v>92280</v>
      </c>
      <c r="L11" s="21">
        <v>0.72280008664906759</v>
      </c>
      <c r="M11" s="15">
        <v>1</v>
      </c>
      <c r="N11" s="7">
        <f t="shared" si="0"/>
        <v>92280</v>
      </c>
      <c r="O11" s="7">
        <f t="shared" si="1"/>
        <v>127670.15625</v>
      </c>
      <c r="P11" s="7">
        <f t="shared" si="2"/>
        <v>16702.68</v>
      </c>
      <c r="Q11" s="7">
        <f t="shared" si="3"/>
        <v>23108.298281249998</v>
      </c>
      <c r="R11" s="7">
        <f t="shared" si="4"/>
        <v>55543.014001563381</v>
      </c>
      <c r="S11" s="7">
        <f t="shared" ca="1" si="5"/>
        <v>111086.02800312676</v>
      </c>
    </row>
    <row r="12" spans="2:19" x14ac:dyDescent="0.3">
      <c r="B12" s="52"/>
      <c r="C12" s="50"/>
      <c r="D12" s="51"/>
      <c r="E12" s="5" t="s">
        <v>16</v>
      </c>
      <c r="F12" s="5">
        <v>417</v>
      </c>
      <c r="G12" s="6">
        <v>8.3000000000000007</v>
      </c>
      <c r="H12" s="7">
        <v>3461.1000000000004</v>
      </c>
      <c r="I12" s="8">
        <v>14.331189093475645</v>
      </c>
      <c r="J12" s="7">
        <v>49601.678571428558</v>
      </c>
      <c r="K12" s="14">
        <v>50470</v>
      </c>
      <c r="L12" s="21">
        <v>1.0175058879775818</v>
      </c>
      <c r="M12" s="11">
        <v>1</v>
      </c>
      <c r="N12" s="7">
        <f t="shared" si="0"/>
        <v>49601.678571428558</v>
      </c>
      <c r="O12" s="7">
        <f t="shared" si="1"/>
        <v>50470</v>
      </c>
      <c r="P12" s="7">
        <f t="shared" si="2"/>
        <v>8977.9038214285683</v>
      </c>
      <c r="Q12" s="7">
        <f t="shared" si="3"/>
        <v>9135.07</v>
      </c>
      <c r="R12" s="7">
        <f t="shared" si="4"/>
        <v>26959.47463233778</v>
      </c>
      <c r="S12" s="7">
        <f t="shared" ca="1" si="5"/>
        <v>53918.949264675561</v>
      </c>
    </row>
    <row r="13" spans="2:19" x14ac:dyDescent="0.3">
      <c r="B13" s="52"/>
      <c r="C13" s="50" t="s">
        <v>19</v>
      </c>
      <c r="D13" s="51">
        <v>2007</v>
      </c>
      <c r="E13" s="5" t="s">
        <v>13</v>
      </c>
      <c r="F13" s="5">
        <v>833</v>
      </c>
      <c r="G13" s="6">
        <v>7.2</v>
      </c>
      <c r="H13" s="7">
        <v>5997.6</v>
      </c>
      <c r="I13" s="8">
        <v>1.8891046001734022</v>
      </c>
      <c r="J13" s="7">
        <v>11330.093749999998</v>
      </c>
      <c r="K13" s="14">
        <v>7800</v>
      </c>
      <c r="L13" s="21">
        <v>0.68843207939034057</v>
      </c>
      <c r="M13" s="16">
        <v>1</v>
      </c>
      <c r="N13" s="7">
        <f t="shared" si="0"/>
        <v>7800</v>
      </c>
      <c r="O13" s="7">
        <f t="shared" si="1"/>
        <v>11330.093749999998</v>
      </c>
      <c r="P13" s="7">
        <f t="shared" si="2"/>
        <v>1411.8</v>
      </c>
      <c r="Q13" s="7">
        <f t="shared" si="3"/>
        <v>2050.7469687499997</v>
      </c>
      <c r="R13" s="7">
        <f t="shared" si="4"/>
        <v>23386.532211184582</v>
      </c>
      <c r="S13" s="7">
        <f t="shared" ca="1" si="5"/>
        <v>46773.064422369163</v>
      </c>
    </row>
    <row r="14" spans="2:19" x14ac:dyDescent="0.3">
      <c r="B14" s="52"/>
      <c r="C14" s="50"/>
      <c r="D14" s="51"/>
      <c r="E14" s="5" t="s">
        <v>14</v>
      </c>
      <c r="F14" s="5">
        <v>417</v>
      </c>
      <c r="G14" s="6">
        <v>14.7</v>
      </c>
      <c r="H14" s="7">
        <v>6129.9</v>
      </c>
      <c r="I14" s="8">
        <v>6.0030343072480798</v>
      </c>
      <c r="J14" s="7">
        <v>36798</v>
      </c>
      <c r="K14" s="14">
        <v>18500</v>
      </c>
      <c r="L14" s="21">
        <v>0.50274471438665147</v>
      </c>
      <c r="M14" s="15">
        <v>1</v>
      </c>
      <c r="N14" s="7">
        <f t="shared" si="0"/>
        <v>18500</v>
      </c>
      <c r="O14" s="7">
        <f t="shared" si="1"/>
        <v>36798</v>
      </c>
      <c r="P14" s="7">
        <f t="shared" si="2"/>
        <v>3348.5</v>
      </c>
      <c r="Q14" s="7">
        <f t="shared" si="3"/>
        <v>6660.4380000000001</v>
      </c>
      <c r="R14" s="7">
        <f t="shared" si="4"/>
        <v>47747.503264501844</v>
      </c>
      <c r="S14" s="7">
        <f t="shared" ca="1" si="5"/>
        <v>95495.006529003687</v>
      </c>
    </row>
    <row r="15" spans="2:19" x14ac:dyDescent="0.3">
      <c r="B15" s="52"/>
      <c r="C15" s="50"/>
      <c r="D15" s="51"/>
      <c r="E15" s="5" t="s">
        <v>20</v>
      </c>
      <c r="F15" s="5">
        <v>417</v>
      </c>
      <c r="G15" s="6">
        <v>5.7</v>
      </c>
      <c r="H15" s="7">
        <v>2376.9</v>
      </c>
      <c r="I15" s="8">
        <v>0.17081071984517648</v>
      </c>
      <c r="J15" s="7">
        <v>406</v>
      </c>
      <c r="K15" s="14">
        <v>335</v>
      </c>
      <c r="L15" s="21">
        <v>0.82512315270935954</v>
      </c>
      <c r="M15" s="15">
        <v>1</v>
      </c>
      <c r="N15" s="7">
        <f t="shared" si="0"/>
        <v>335</v>
      </c>
      <c r="O15" s="7">
        <f t="shared" si="1"/>
        <v>406</v>
      </c>
      <c r="P15" s="7">
        <f t="shared" si="2"/>
        <v>60.634999999999998</v>
      </c>
      <c r="Q15" s="7">
        <f t="shared" si="3"/>
        <v>73.486000000000004</v>
      </c>
      <c r="R15" s="7">
        <f t="shared" si="4"/>
        <v>18514.338000521126</v>
      </c>
      <c r="S15" s="7">
        <f t="shared" ca="1" si="5"/>
        <v>37028.676001042251</v>
      </c>
    </row>
    <row r="16" spans="2:19" x14ac:dyDescent="0.3">
      <c r="B16" s="52"/>
      <c r="C16" s="50" t="s">
        <v>21</v>
      </c>
      <c r="D16" s="51">
        <v>2007</v>
      </c>
      <c r="E16" s="5" t="s">
        <v>13</v>
      </c>
      <c r="F16" s="5">
        <v>833</v>
      </c>
      <c r="G16" s="6">
        <v>10.5</v>
      </c>
      <c r="H16" s="7">
        <v>8746.5</v>
      </c>
      <c r="I16" s="8">
        <v>4.476428071228491</v>
      </c>
      <c r="J16" s="7">
        <v>39153.078125</v>
      </c>
      <c r="K16" s="17">
        <v>24960</v>
      </c>
      <c r="L16" s="21">
        <v>0.63749777017052855</v>
      </c>
      <c r="M16" s="15">
        <v>1</v>
      </c>
      <c r="N16" s="7">
        <f t="shared" si="0"/>
        <v>24960</v>
      </c>
      <c r="O16" s="7">
        <f t="shared" si="1"/>
        <v>39153.078125</v>
      </c>
      <c r="P16" s="7">
        <f t="shared" si="2"/>
        <v>4517.76</v>
      </c>
      <c r="Q16" s="7">
        <f t="shared" si="3"/>
        <v>7086.7071406249997</v>
      </c>
      <c r="R16" s="7">
        <f t="shared" si="4"/>
        <v>34105.359474644181</v>
      </c>
      <c r="S16" s="7">
        <f t="shared" ca="1" si="5"/>
        <v>68210.718949288363</v>
      </c>
    </row>
    <row r="17" spans="2:19" x14ac:dyDescent="0.3">
      <c r="B17" s="52"/>
      <c r="C17" s="50"/>
      <c r="D17" s="51"/>
      <c r="E17" s="5" t="s">
        <v>16</v>
      </c>
      <c r="F17" s="5">
        <v>417</v>
      </c>
      <c r="G17" s="6">
        <v>4.8</v>
      </c>
      <c r="H17" s="7">
        <v>2001.6</v>
      </c>
      <c r="I17" s="8">
        <v>9.4143435251798557</v>
      </c>
      <c r="J17" s="7">
        <v>18843.75</v>
      </c>
      <c r="K17" s="17">
        <v>23175</v>
      </c>
      <c r="L17" s="21">
        <v>1.2298507462686568</v>
      </c>
      <c r="M17" s="11">
        <v>1</v>
      </c>
      <c r="N17" s="7">
        <f t="shared" si="0"/>
        <v>18843.75</v>
      </c>
      <c r="O17" s="7">
        <f t="shared" si="1"/>
        <v>23175</v>
      </c>
      <c r="P17" s="7">
        <f t="shared" si="2"/>
        <v>3410.71875</v>
      </c>
      <c r="Q17" s="7">
        <f t="shared" si="3"/>
        <v>4194.6750000000002</v>
      </c>
      <c r="R17" s="7">
        <f t="shared" si="4"/>
        <v>15591.021474123052</v>
      </c>
      <c r="S17" s="7">
        <f t="shared" ca="1" si="5"/>
        <v>31182.042948246104</v>
      </c>
    </row>
    <row r="18" spans="2:19" x14ac:dyDescent="0.3">
      <c r="B18" s="53">
        <v>2</v>
      </c>
      <c r="C18" s="48" t="s">
        <v>12</v>
      </c>
      <c r="D18" s="48">
        <v>2008</v>
      </c>
      <c r="E18" s="23" t="s">
        <v>14</v>
      </c>
      <c r="F18" s="24">
        <v>400</v>
      </c>
      <c r="G18" s="24">
        <v>24.015000000000001</v>
      </c>
      <c r="H18" s="4">
        <v>9606</v>
      </c>
      <c r="I18" s="25">
        <v>9.2045454545454533</v>
      </c>
      <c r="J18" s="26">
        <v>88418.863636363618</v>
      </c>
      <c r="K18" s="27">
        <v>87442</v>
      </c>
      <c r="L18" s="22">
        <v>0.98895186393277879</v>
      </c>
      <c r="M18" s="28">
        <v>1</v>
      </c>
      <c r="N18" s="7">
        <f t="shared" si="0"/>
        <v>87442</v>
      </c>
      <c r="O18" s="7">
        <f t="shared" si="1"/>
        <v>88418.863636363618</v>
      </c>
      <c r="P18" s="7">
        <f t="shared" si="2"/>
        <v>15827.001999999999</v>
      </c>
      <c r="Q18" s="7">
        <f t="shared" si="3"/>
        <v>16003.814318181814</v>
      </c>
      <c r="R18" s="7">
        <f>(G18/SUM($G$18:$G$24))*$K$35</f>
        <v>81935.284643337043</v>
      </c>
      <c r="S18" s="7">
        <f t="shared" ca="1" si="5"/>
        <v>163870.56928667409</v>
      </c>
    </row>
    <row r="19" spans="2:19" x14ac:dyDescent="0.3">
      <c r="B19" s="53"/>
      <c r="C19" s="48"/>
      <c r="D19" s="48"/>
      <c r="E19" s="23" t="s">
        <v>20</v>
      </c>
      <c r="F19" s="24">
        <v>400</v>
      </c>
      <c r="G19" s="24">
        <v>10.2875</v>
      </c>
      <c r="H19" s="4">
        <v>4115</v>
      </c>
      <c r="I19" s="25">
        <v>5.8218000000000005</v>
      </c>
      <c r="J19" s="26">
        <v>23956.707000000002</v>
      </c>
      <c r="K19" s="27">
        <v>23096</v>
      </c>
      <c r="L19" s="22">
        <v>0.96407239943286016</v>
      </c>
      <c r="M19" s="28">
        <v>1</v>
      </c>
      <c r="N19" s="7">
        <f t="shared" si="0"/>
        <v>23096</v>
      </c>
      <c r="O19" s="7">
        <f t="shared" si="1"/>
        <v>23956.707000000002</v>
      </c>
      <c r="P19" s="7">
        <f t="shared" si="2"/>
        <v>4180.3760000000002</v>
      </c>
      <c r="Q19" s="7">
        <f t="shared" si="3"/>
        <v>4336.1639670000004</v>
      </c>
      <c r="R19" s="7">
        <f t="shared" ref="R19:R24" si="6">(G19/SUM($G$18:$G$24))*$K$35</f>
        <v>35099.281314525499</v>
      </c>
      <c r="S19" s="7">
        <f t="shared" ca="1" si="5"/>
        <v>70198.562629050997</v>
      </c>
    </row>
    <row r="20" spans="2:19" x14ac:dyDescent="0.3">
      <c r="B20" s="53"/>
      <c r="C20" s="48" t="s">
        <v>15</v>
      </c>
      <c r="D20" s="48">
        <v>2008</v>
      </c>
      <c r="E20" s="23" t="s">
        <v>14</v>
      </c>
      <c r="F20" s="24">
        <v>417</v>
      </c>
      <c r="G20" s="24">
        <v>19.196642685851319</v>
      </c>
      <c r="H20" s="4">
        <v>8005</v>
      </c>
      <c r="I20" s="25">
        <v>10.922048719550281</v>
      </c>
      <c r="J20" s="26">
        <v>87431</v>
      </c>
      <c r="K20" s="27">
        <v>79310</v>
      </c>
      <c r="L20" s="22">
        <v>0.90711532522789395</v>
      </c>
      <c r="M20" s="29">
        <v>1</v>
      </c>
      <c r="N20" s="7">
        <f t="shared" si="0"/>
        <v>79310</v>
      </c>
      <c r="O20" s="7">
        <f t="shared" si="1"/>
        <v>87431</v>
      </c>
      <c r="P20" s="7">
        <f t="shared" si="2"/>
        <v>14355.109999999999</v>
      </c>
      <c r="Q20" s="7">
        <f t="shared" si="3"/>
        <v>15825.010999999999</v>
      </c>
      <c r="R20" s="7">
        <f t="shared" si="6"/>
        <v>65495.831049829772</v>
      </c>
      <c r="S20" s="7">
        <f t="shared" ca="1" si="5"/>
        <v>130991.66209965954</v>
      </c>
    </row>
    <row r="21" spans="2:19" x14ac:dyDescent="0.3">
      <c r="B21" s="53"/>
      <c r="C21" s="48"/>
      <c r="D21" s="48"/>
      <c r="E21" s="23" t="s">
        <v>14</v>
      </c>
      <c r="F21" s="24">
        <v>400</v>
      </c>
      <c r="G21" s="24">
        <v>13.385</v>
      </c>
      <c r="H21" s="4">
        <v>5354</v>
      </c>
      <c r="I21" s="25">
        <v>1.1297627941725812</v>
      </c>
      <c r="J21" s="26">
        <v>6048.7499999999991</v>
      </c>
      <c r="K21" s="27">
        <v>5987</v>
      </c>
      <c r="L21" s="22">
        <v>0.98979127918991539</v>
      </c>
      <c r="M21" s="29">
        <v>1</v>
      </c>
      <c r="N21" s="7">
        <f t="shared" si="0"/>
        <v>5987</v>
      </c>
      <c r="O21" s="7">
        <f t="shared" si="1"/>
        <v>6048.7499999999991</v>
      </c>
      <c r="P21" s="7">
        <f t="shared" si="2"/>
        <v>1083.6469999999999</v>
      </c>
      <c r="Q21" s="7">
        <f t="shared" si="3"/>
        <v>1094.8237499999998</v>
      </c>
      <c r="R21" s="7">
        <f t="shared" si="6"/>
        <v>45667.448884075209</v>
      </c>
      <c r="S21" s="7">
        <f t="shared" ca="1" si="5"/>
        <v>91334.897768150418</v>
      </c>
    </row>
    <row r="22" spans="2:19" x14ac:dyDescent="0.3">
      <c r="B22" s="53"/>
      <c r="C22" s="48"/>
      <c r="D22" s="48"/>
      <c r="E22" s="23" t="s">
        <v>22</v>
      </c>
      <c r="F22" s="24">
        <v>417</v>
      </c>
      <c r="G22" s="24">
        <v>8.2254196642685855</v>
      </c>
      <c r="H22" s="4">
        <v>3430</v>
      </c>
      <c r="I22" s="25">
        <v>0.29329446064139941</v>
      </c>
      <c r="J22" s="26">
        <v>1006</v>
      </c>
      <c r="K22" s="27">
        <v>897</v>
      </c>
      <c r="L22" s="22">
        <v>0.89165009940357853</v>
      </c>
      <c r="M22" s="29">
        <v>1</v>
      </c>
      <c r="N22" s="7">
        <f t="shared" si="0"/>
        <v>897</v>
      </c>
      <c r="O22" s="7">
        <f t="shared" si="1"/>
        <v>1006</v>
      </c>
      <c r="P22" s="7">
        <f t="shared" si="2"/>
        <v>162.357</v>
      </c>
      <c r="Q22" s="7">
        <f t="shared" si="3"/>
        <v>182.08599999999998</v>
      </c>
      <c r="R22" s="7">
        <f t="shared" si="6"/>
        <v>28063.797689058851</v>
      </c>
      <c r="S22" s="7">
        <f t="shared" ca="1" si="5"/>
        <v>56127.595378117701</v>
      </c>
    </row>
    <row r="23" spans="2:19" x14ac:dyDescent="0.3">
      <c r="B23" s="53"/>
      <c r="C23" s="48"/>
      <c r="D23" s="48"/>
      <c r="E23" s="23" t="s">
        <v>22</v>
      </c>
      <c r="F23" s="24">
        <v>400</v>
      </c>
      <c r="G23" s="24">
        <v>3.5225</v>
      </c>
      <c r="H23" s="4">
        <v>1409</v>
      </c>
      <c r="I23" s="25">
        <v>3.5791341376863022</v>
      </c>
      <c r="J23" s="26">
        <v>5043</v>
      </c>
      <c r="K23" s="27">
        <v>5974</v>
      </c>
      <c r="L23" s="22">
        <v>1.1846123339282173</v>
      </c>
      <c r="M23" s="29">
        <v>1</v>
      </c>
      <c r="N23" s="7">
        <f t="shared" si="0"/>
        <v>5043</v>
      </c>
      <c r="O23" s="7">
        <f t="shared" si="1"/>
        <v>5974</v>
      </c>
      <c r="P23" s="7">
        <f t="shared" si="2"/>
        <v>912.78300000000002</v>
      </c>
      <c r="Q23" s="7">
        <f t="shared" si="3"/>
        <v>1081.2939999999999</v>
      </c>
      <c r="R23" s="7">
        <f t="shared" si="6"/>
        <v>12018.19863236122</v>
      </c>
      <c r="S23" s="7">
        <f t="shared" ca="1" si="5"/>
        <v>24036.39726472244</v>
      </c>
    </row>
    <row r="24" spans="2:19" x14ac:dyDescent="0.3">
      <c r="B24" s="53"/>
      <c r="C24" s="48"/>
      <c r="D24" s="48"/>
      <c r="E24" s="23" t="s">
        <v>23</v>
      </c>
      <c r="F24" s="24">
        <v>400</v>
      </c>
      <c r="G24" s="24">
        <v>2.2124999999999999</v>
      </c>
      <c r="H24" s="4">
        <v>885</v>
      </c>
      <c r="I24" s="25">
        <v>0.45875706214689266</v>
      </c>
      <c r="J24" s="26">
        <v>406</v>
      </c>
      <c r="K24" s="27">
        <v>512</v>
      </c>
      <c r="L24" s="22">
        <v>1.2610837438423645</v>
      </c>
      <c r="M24" s="29">
        <v>1</v>
      </c>
      <c r="N24" s="7">
        <f t="shared" si="0"/>
        <v>406</v>
      </c>
      <c r="O24" s="7">
        <f t="shared" si="1"/>
        <v>512</v>
      </c>
      <c r="P24" s="7">
        <f t="shared" si="2"/>
        <v>73.486000000000004</v>
      </c>
      <c r="Q24" s="7">
        <f t="shared" si="3"/>
        <v>92.671999999999997</v>
      </c>
      <c r="R24" s="7">
        <f t="shared" si="6"/>
        <v>7548.691121106941</v>
      </c>
      <c r="S24" s="7">
        <f t="shared" ca="1" si="5"/>
        <v>15097.382242213882</v>
      </c>
    </row>
    <row r="25" spans="2:19" x14ac:dyDescent="0.3">
      <c r="B25" s="52">
        <v>3</v>
      </c>
      <c r="C25" s="49" t="s">
        <v>24</v>
      </c>
      <c r="D25" s="49">
        <v>2009</v>
      </c>
      <c r="E25" s="9" t="s">
        <v>13</v>
      </c>
      <c r="F25" s="5">
        <v>555</v>
      </c>
      <c r="G25" s="5">
        <v>5.7225225225225227</v>
      </c>
      <c r="H25" s="10">
        <v>3176</v>
      </c>
      <c r="I25" s="8">
        <v>7.2222687657430722</v>
      </c>
      <c r="J25" s="7">
        <v>22937.925599999999</v>
      </c>
      <c r="K25" s="14">
        <v>23600</v>
      </c>
      <c r="L25" s="21">
        <v>1.0288637434589989</v>
      </c>
      <c r="M25" s="15">
        <v>1</v>
      </c>
      <c r="N25" s="7">
        <f t="shared" si="0"/>
        <v>22937.925599999999</v>
      </c>
      <c r="O25" s="7">
        <f t="shared" si="1"/>
        <v>23600</v>
      </c>
      <c r="P25" s="7">
        <f t="shared" si="2"/>
        <v>4151.7645335999996</v>
      </c>
      <c r="Q25" s="7">
        <f t="shared" si="3"/>
        <v>4271.5999999999995</v>
      </c>
      <c r="R25" s="7">
        <f>(G25/SUM($G$25:$G$31))*$L$35</f>
        <v>9793.4383305121846</v>
      </c>
      <c r="S25" s="7">
        <f t="shared" ca="1" si="5"/>
        <v>19586.876661024369</v>
      </c>
    </row>
    <row r="26" spans="2:19" x14ac:dyDescent="0.3">
      <c r="B26" s="52"/>
      <c r="C26" s="49"/>
      <c r="D26" s="49"/>
      <c r="E26" s="9" t="s">
        <v>14</v>
      </c>
      <c r="F26" s="5">
        <v>417</v>
      </c>
      <c r="G26" s="5">
        <v>2.4676258992805757</v>
      </c>
      <c r="H26" s="10">
        <v>1029</v>
      </c>
      <c r="I26" s="8">
        <v>3.9153998334027489</v>
      </c>
      <c r="J26" s="7">
        <v>4028.9464285714284</v>
      </c>
      <c r="K26" s="14">
        <v>4084</v>
      </c>
      <c r="L26" s="21">
        <v>1.0136645081796465</v>
      </c>
      <c r="M26" s="12">
        <v>1</v>
      </c>
      <c r="N26" s="7">
        <f t="shared" si="0"/>
        <v>4028.9464285714284</v>
      </c>
      <c r="O26" s="7">
        <f t="shared" si="1"/>
        <v>4084</v>
      </c>
      <c r="P26" s="7">
        <f t="shared" si="2"/>
        <v>729.23930357142854</v>
      </c>
      <c r="Q26" s="7">
        <f t="shared" si="3"/>
        <v>739.20399999999995</v>
      </c>
      <c r="R26" s="7">
        <f t="shared" ref="R26:R31" si="7">(G26/SUM($G$25:$G$31))*$L$35</f>
        <v>4223.0575715980285</v>
      </c>
      <c r="S26" s="7">
        <f t="shared" ca="1" si="5"/>
        <v>8446.115143196057</v>
      </c>
    </row>
    <row r="27" spans="2:19" x14ac:dyDescent="0.3">
      <c r="B27" s="52"/>
      <c r="C27" s="47" t="s">
        <v>25</v>
      </c>
      <c r="D27" s="47">
        <v>2009</v>
      </c>
      <c r="E27" s="18" t="s">
        <v>13</v>
      </c>
      <c r="F27" s="5">
        <v>555</v>
      </c>
      <c r="G27" s="5">
        <v>11.073873873873874</v>
      </c>
      <c r="H27" s="19">
        <v>6146</v>
      </c>
      <c r="I27" s="8">
        <v>4.9958493328994473</v>
      </c>
      <c r="J27" s="7">
        <v>30704.49</v>
      </c>
      <c r="K27" s="20">
        <v>33480</v>
      </c>
      <c r="L27" s="21">
        <v>1.0903942713264412</v>
      </c>
      <c r="M27" s="11">
        <v>1</v>
      </c>
      <c r="N27" s="7">
        <f t="shared" si="0"/>
        <v>30704.49</v>
      </c>
      <c r="O27" s="7">
        <f t="shared" si="1"/>
        <v>33480</v>
      </c>
      <c r="P27" s="7">
        <f t="shared" si="2"/>
        <v>5557.5126900000005</v>
      </c>
      <c r="Q27" s="7">
        <f t="shared" si="3"/>
        <v>6059.88</v>
      </c>
      <c r="R27" s="7">
        <f t="shared" si="7"/>
        <v>18951.659943113311</v>
      </c>
      <c r="S27" s="7">
        <f t="shared" ca="1" si="5"/>
        <v>37903.319886226622</v>
      </c>
    </row>
    <row r="28" spans="2:19" x14ac:dyDescent="0.3">
      <c r="B28" s="52"/>
      <c r="C28" s="47"/>
      <c r="D28" s="47"/>
      <c r="E28" s="18" t="s">
        <v>14</v>
      </c>
      <c r="F28" s="5">
        <v>417</v>
      </c>
      <c r="G28" s="5">
        <v>5.4652278177458031</v>
      </c>
      <c r="H28" s="19">
        <v>2279</v>
      </c>
      <c r="I28" s="8">
        <v>8.0965335673541023</v>
      </c>
      <c r="J28" s="7">
        <v>18452</v>
      </c>
      <c r="K28" s="20">
        <v>17584</v>
      </c>
      <c r="L28" s="21">
        <v>0.95295902883156303</v>
      </c>
      <c r="M28" s="11">
        <v>1</v>
      </c>
      <c r="N28" s="7">
        <f t="shared" si="0"/>
        <v>17584</v>
      </c>
      <c r="O28" s="7">
        <f t="shared" si="1"/>
        <v>18452</v>
      </c>
      <c r="P28" s="7">
        <f t="shared" si="2"/>
        <v>3182.7039999999997</v>
      </c>
      <c r="Q28" s="7">
        <f t="shared" si="3"/>
        <v>3339.8119999999999</v>
      </c>
      <c r="R28" s="7">
        <f t="shared" si="7"/>
        <v>9353.1080715956323</v>
      </c>
      <c r="S28" s="7">
        <f t="shared" ca="1" si="5"/>
        <v>18706.216143191265</v>
      </c>
    </row>
    <row r="29" spans="2:19" x14ac:dyDescent="0.3">
      <c r="B29" s="52"/>
      <c r="C29" s="47" t="s">
        <v>26</v>
      </c>
      <c r="D29" s="47">
        <v>2009</v>
      </c>
      <c r="E29" s="18" t="s">
        <v>13</v>
      </c>
      <c r="F29" s="5">
        <v>555</v>
      </c>
      <c r="G29" s="5">
        <v>14.992792792792793</v>
      </c>
      <c r="H29" s="19">
        <v>8321</v>
      </c>
      <c r="I29" s="8">
        <v>2.2175219324600408</v>
      </c>
      <c r="J29" s="7">
        <v>18452</v>
      </c>
      <c r="K29" s="20">
        <v>20160</v>
      </c>
      <c r="L29" s="21">
        <v>1.0925644916540214</v>
      </c>
      <c r="M29" s="11">
        <v>1</v>
      </c>
      <c r="N29" s="7">
        <f t="shared" si="0"/>
        <v>18452</v>
      </c>
      <c r="O29" s="7">
        <f t="shared" si="1"/>
        <v>20160</v>
      </c>
      <c r="P29" s="7">
        <f t="shared" si="2"/>
        <v>3339.8119999999999</v>
      </c>
      <c r="Q29" s="7">
        <f t="shared" si="3"/>
        <v>3648.96</v>
      </c>
      <c r="R29" s="7">
        <f t="shared" si="7"/>
        <v>25658.438396785859</v>
      </c>
      <c r="S29" s="7">
        <f t="shared" ca="1" si="5"/>
        <v>51316.876793571719</v>
      </c>
    </row>
    <row r="30" spans="2:19" x14ac:dyDescent="0.3">
      <c r="B30" s="52"/>
      <c r="C30" s="47"/>
      <c r="D30" s="47"/>
      <c r="E30" s="18" t="s">
        <v>14</v>
      </c>
      <c r="F30" s="5">
        <v>417</v>
      </c>
      <c r="G30" s="5">
        <v>0.66426858513189446</v>
      </c>
      <c r="H30" s="19">
        <v>277</v>
      </c>
      <c r="I30" s="8">
        <v>5.6570397111913353</v>
      </c>
      <c r="J30" s="7">
        <v>1567</v>
      </c>
      <c r="K30" s="20">
        <v>1560</v>
      </c>
      <c r="L30" s="21">
        <v>0.99553286534779828</v>
      </c>
      <c r="M30" s="11">
        <v>1</v>
      </c>
      <c r="N30" s="7">
        <f t="shared" si="0"/>
        <v>1560</v>
      </c>
      <c r="O30" s="7">
        <f t="shared" si="1"/>
        <v>1567</v>
      </c>
      <c r="P30" s="7">
        <f t="shared" si="2"/>
        <v>282.36</v>
      </c>
      <c r="Q30" s="7">
        <f t="shared" si="3"/>
        <v>283.62700000000001</v>
      </c>
      <c r="R30" s="7">
        <f t="shared" si="7"/>
        <v>1136.8191907994692</v>
      </c>
      <c r="S30" s="7">
        <f t="shared" ca="1" si="5"/>
        <v>2273.6383815989384</v>
      </c>
    </row>
    <row r="31" spans="2:19" x14ac:dyDescent="0.3">
      <c r="B31" s="52"/>
      <c r="C31" s="47"/>
      <c r="D31" s="47"/>
      <c r="E31" s="18" t="s">
        <v>20</v>
      </c>
      <c r="F31" s="5">
        <v>417</v>
      </c>
      <c r="G31" s="5">
        <v>5.6091127098321341</v>
      </c>
      <c r="H31" s="19">
        <v>2339</v>
      </c>
      <c r="I31" s="8">
        <v>1.1624625908507908</v>
      </c>
      <c r="J31" s="7">
        <v>2719</v>
      </c>
      <c r="K31" s="20">
        <v>2835</v>
      </c>
      <c r="L31" s="21">
        <v>1.0426627436557558</v>
      </c>
      <c r="M31" s="11">
        <v>1</v>
      </c>
      <c r="N31" s="7">
        <f t="shared" si="0"/>
        <v>2719</v>
      </c>
      <c r="O31" s="7">
        <f t="shared" si="1"/>
        <v>2835</v>
      </c>
      <c r="P31" s="7">
        <f t="shared" si="2"/>
        <v>492.13900000000001</v>
      </c>
      <c r="Q31" s="7">
        <f t="shared" si="3"/>
        <v>513.13499999999999</v>
      </c>
      <c r="R31" s="7">
        <f t="shared" si="7"/>
        <v>9599.3504955955177</v>
      </c>
      <c r="S31" s="7">
        <f t="shared" ca="1" si="5"/>
        <v>19198.700991191035</v>
      </c>
    </row>
    <row r="34" spans="9:15" x14ac:dyDescent="0.3">
      <c r="J34" s="34" t="s">
        <v>30</v>
      </c>
      <c r="K34" s="34" t="s">
        <v>31</v>
      </c>
      <c r="L34" s="34" t="s">
        <v>32</v>
      </c>
    </row>
    <row r="35" spans="9:15" x14ac:dyDescent="0.3">
      <c r="I35" t="s">
        <v>29</v>
      </c>
      <c r="J35" s="33">
        <v>629812.30496509583</v>
      </c>
      <c r="K35" s="33">
        <v>275828.53333429457</v>
      </c>
      <c r="L35" s="33">
        <v>78715.872000000003</v>
      </c>
      <c r="M35" s="33"/>
      <c r="N35" s="33"/>
      <c r="O35" s="33"/>
    </row>
    <row r="36" spans="9:15" x14ac:dyDescent="0.3">
      <c r="J36" t="s">
        <v>12</v>
      </c>
      <c r="K36" t="s">
        <v>15</v>
      </c>
      <c r="L36" t="s">
        <v>17</v>
      </c>
    </row>
    <row r="40" spans="9:15" x14ac:dyDescent="0.3">
      <c r="J40" s="33">
        <v>629812.30496509583</v>
      </c>
      <c r="K40" s="33">
        <v>275828.53333429457</v>
      </c>
      <c r="L40" s="33">
        <v>78715.872000000003</v>
      </c>
    </row>
    <row r="41" spans="9:15" x14ac:dyDescent="0.3">
      <c r="J41">
        <f>J40*0.7</f>
        <v>440868.61347556708</v>
      </c>
      <c r="K41">
        <f t="shared" ref="K41:L41" si="8">K40*0.8</f>
        <v>220662.82666743567</v>
      </c>
      <c r="L41">
        <f t="shared" si="8"/>
        <v>62972.697600000007</v>
      </c>
    </row>
  </sheetData>
  <mergeCells count="25">
    <mergeCell ref="C9:C10"/>
    <mergeCell ref="C11:C12"/>
    <mergeCell ref="C13:C15"/>
    <mergeCell ref="C16:C17"/>
    <mergeCell ref="D4:D5"/>
    <mergeCell ref="D6:D8"/>
    <mergeCell ref="D9:D10"/>
    <mergeCell ref="D11:D12"/>
    <mergeCell ref="D13:D15"/>
    <mergeCell ref="B4:B17"/>
    <mergeCell ref="C18:C19"/>
    <mergeCell ref="D18:D19"/>
    <mergeCell ref="B18:B24"/>
    <mergeCell ref="B25:B31"/>
    <mergeCell ref="C20:C24"/>
    <mergeCell ref="D20:D24"/>
    <mergeCell ref="C25:C26"/>
    <mergeCell ref="C27:C28"/>
    <mergeCell ref="C29:C31"/>
    <mergeCell ref="D25:D26"/>
    <mergeCell ref="D27:D28"/>
    <mergeCell ref="D29:D31"/>
    <mergeCell ref="D16:D17"/>
    <mergeCell ref="C4:C5"/>
    <mergeCell ref="C6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5:Q33"/>
  <sheetViews>
    <sheetView topLeftCell="C1" workbookViewId="0">
      <selection activeCell="H26" sqref="H26"/>
    </sheetView>
  </sheetViews>
  <sheetFormatPr baseColWidth="10" defaultRowHeight="14.4" x14ac:dyDescent="0.3"/>
  <cols>
    <col min="15" max="15" width="12.33203125" bestFit="1" customWidth="1"/>
    <col min="17" max="17" width="12.44140625" bestFit="1" customWidth="1"/>
  </cols>
  <sheetData>
    <row r="5" spans="5:17" ht="27.6" x14ac:dyDescent="0.3">
      <c r="E5" s="1" t="s">
        <v>0</v>
      </c>
      <c r="F5" s="1" t="s">
        <v>1</v>
      </c>
      <c r="G5" s="1" t="s">
        <v>2</v>
      </c>
      <c r="H5" s="1" t="s">
        <v>3</v>
      </c>
      <c r="I5" s="1" t="s">
        <v>33</v>
      </c>
      <c r="J5" s="32" t="s">
        <v>5</v>
      </c>
      <c r="K5" s="35" t="s">
        <v>34</v>
      </c>
      <c r="L5" s="30" t="s">
        <v>28</v>
      </c>
      <c r="M5" s="30" t="s">
        <v>29</v>
      </c>
      <c r="N5" s="30" t="s">
        <v>35</v>
      </c>
      <c r="O5" s="30" t="s">
        <v>36</v>
      </c>
    </row>
    <row r="6" spans="5:17" x14ac:dyDescent="0.3">
      <c r="E6" s="52">
        <v>1</v>
      </c>
      <c r="F6" s="50" t="s">
        <v>12</v>
      </c>
      <c r="G6" s="51">
        <v>2007</v>
      </c>
      <c r="H6" s="5" t="s">
        <v>13</v>
      </c>
      <c r="I6" s="5">
        <v>1</v>
      </c>
      <c r="J6" s="6">
        <v>27.4</v>
      </c>
      <c r="K6" s="6">
        <f>AVERAGE(Hoja1!N4:O4)</f>
        <v>214170.3515625</v>
      </c>
      <c r="L6" s="6">
        <f>AVERAGE(Hoja1!P4:Q4)</f>
        <v>38764.833632812501</v>
      </c>
      <c r="M6" s="6">
        <f ca="1">AVERAGE(Hoja1!R4:S4)</f>
        <v>133498.12137217863</v>
      </c>
      <c r="N6" s="6">
        <f ca="1">40*M6+IF(H6="Arbequina",1,0)*345000+IF(H6="Arbequina",0,1)*200</f>
        <v>5684924.8548871456</v>
      </c>
      <c r="O6" s="6">
        <f>850.7*L6*3.5</f>
        <v>115420353.90001759</v>
      </c>
      <c r="Q6" t="s">
        <v>37</v>
      </c>
    </row>
    <row r="7" spans="5:17" x14ac:dyDescent="0.3">
      <c r="E7" s="52"/>
      <c r="F7" s="50"/>
      <c r="G7" s="51"/>
      <c r="H7" s="5" t="s">
        <v>14</v>
      </c>
      <c r="I7" s="5">
        <v>2</v>
      </c>
      <c r="J7" s="6">
        <v>11.3</v>
      </c>
      <c r="K7" s="6">
        <f>AVERAGE(Hoja1!N5:O5)</f>
        <v>21494.428571428572</v>
      </c>
      <c r="L7" s="6">
        <f>AVERAGE(Hoja1!P5:Q5)</f>
        <v>3890.4915714285717</v>
      </c>
      <c r="M7" s="6">
        <f ca="1">AVERAGE(Hoja1!R5:S5)</f>
        <v>55055.794580497037</v>
      </c>
      <c r="N7" s="6">
        <f t="shared" ref="N7:N33" ca="1" si="0">40*M7+IF(H7="Arbequina",1,0)*345000+IF(H7="Arbequina",0,1)*200</f>
        <v>2202431.7832198814</v>
      </c>
      <c r="O7" s="6">
        <f t="shared" ref="O7:O33" si="1">850.7*L7*3.5</f>
        <v>11583744.129350001</v>
      </c>
      <c r="Q7" s="36">
        <f ca="1">SUM($O$6:$O$33)-SUM($N$6:$N$33)</f>
        <v>688827564.37074876</v>
      </c>
    </row>
    <row r="8" spans="5:17" x14ac:dyDescent="0.3">
      <c r="E8" s="52"/>
      <c r="F8" s="50" t="s">
        <v>15</v>
      </c>
      <c r="G8" s="51">
        <v>2007</v>
      </c>
      <c r="H8" s="5" t="s">
        <v>13</v>
      </c>
      <c r="I8" s="5">
        <v>3</v>
      </c>
      <c r="J8" s="6">
        <v>32.200000000000003</v>
      </c>
      <c r="K8" s="6">
        <f>AVERAGE(Hoja1!N6:O6)</f>
        <v>266508</v>
      </c>
      <c r="L8" s="6">
        <f>AVERAGE(Hoja1!P6:Q6)</f>
        <v>48237.948000000004</v>
      </c>
      <c r="M8" s="6">
        <f ca="1">AVERAGE(Hoja1!R6:S6)</f>
        <v>156884.65358336322</v>
      </c>
      <c r="N8" s="6">
        <f t="shared" ca="1" si="0"/>
        <v>6620386.1433345284</v>
      </c>
      <c r="O8" s="6">
        <f t="shared" si="1"/>
        <v>143626078.27260002</v>
      </c>
    </row>
    <row r="9" spans="5:17" x14ac:dyDescent="0.3">
      <c r="E9" s="52"/>
      <c r="F9" s="50"/>
      <c r="G9" s="51"/>
      <c r="H9" s="5" t="s">
        <v>14</v>
      </c>
      <c r="I9" s="5">
        <v>4</v>
      </c>
      <c r="J9" s="6">
        <v>8.1999999999999993</v>
      </c>
      <c r="K9" s="6">
        <f>AVERAGE(Hoja1!N7:O7)</f>
        <v>5017.0089285714284</v>
      </c>
      <c r="L9" s="6">
        <f>AVERAGE(Hoja1!P7:Q7)</f>
        <v>908.07861607142854</v>
      </c>
      <c r="M9" s="6">
        <f ca="1">AVERAGE(Hoja1!R7:S7)</f>
        <v>39951.992527440321</v>
      </c>
      <c r="N9" s="6">
        <f t="shared" ca="1" si="0"/>
        <v>1598279.7010976127</v>
      </c>
      <c r="O9" s="6">
        <f t="shared" si="1"/>
        <v>2703758.675421875</v>
      </c>
    </row>
    <row r="10" spans="5:17" x14ac:dyDescent="0.3">
      <c r="E10" s="52"/>
      <c r="F10" s="50"/>
      <c r="G10" s="51"/>
      <c r="H10" s="5" t="s">
        <v>16</v>
      </c>
      <c r="I10" s="5">
        <v>5</v>
      </c>
      <c r="J10" s="6">
        <v>6.2</v>
      </c>
      <c r="K10" s="6">
        <f>AVERAGE(Hoja1!N8:O8)</f>
        <v>44821.892857142855</v>
      </c>
      <c r="L10" s="6">
        <f>AVERAGE(Hoja1!P8:Q8)</f>
        <v>8112.7626071428567</v>
      </c>
      <c r="M10" s="6">
        <f ca="1">AVERAGE(Hoja1!R8:S8)</f>
        <v>30207.604106113413</v>
      </c>
      <c r="N10" s="6">
        <f t="shared" ca="1" si="0"/>
        <v>1208504.1642445365</v>
      </c>
      <c r="O10" s="6">
        <f t="shared" si="1"/>
        <v>24155345.024637502</v>
      </c>
    </row>
    <row r="11" spans="5:17" x14ac:dyDescent="0.3">
      <c r="E11" s="52"/>
      <c r="F11" s="50" t="s">
        <v>17</v>
      </c>
      <c r="G11" s="51">
        <v>2007</v>
      </c>
      <c r="H11" s="5" t="s">
        <v>13</v>
      </c>
      <c r="I11" s="5">
        <v>6</v>
      </c>
      <c r="J11" s="6">
        <v>28</v>
      </c>
      <c r="K11" s="6">
        <f>AVERAGE(Hoja1!N9:O9)</f>
        <v>190924.330625</v>
      </c>
      <c r="L11" s="6">
        <f>AVERAGE(Hoja1!P9:Q9)</f>
        <v>34557.303843125002</v>
      </c>
      <c r="M11" s="6">
        <f ca="1">AVERAGE(Hoja1!R9:S9)</f>
        <v>136421.43789857673</v>
      </c>
      <c r="N11" s="6">
        <f t="shared" ca="1" si="0"/>
        <v>5801857.515943069</v>
      </c>
      <c r="O11" s="6">
        <f t="shared" si="1"/>
        <v>102892644.32771255</v>
      </c>
    </row>
    <row r="12" spans="5:17" x14ac:dyDescent="0.3">
      <c r="E12" s="52"/>
      <c r="F12" s="50"/>
      <c r="G12" s="51"/>
      <c r="H12" s="5" t="s">
        <v>16</v>
      </c>
      <c r="I12" s="5">
        <v>7</v>
      </c>
      <c r="J12" s="6">
        <v>12.3</v>
      </c>
      <c r="K12" s="6">
        <f>AVERAGE(Hoja1!N10:O10)</f>
        <v>91083.92857142858</v>
      </c>
      <c r="L12" s="6">
        <f>AVERAGE(Hoja1!P10:Q10)</f>
        <v>16486.19107142857</v>
      </c>
      <c r="M12" s="6">
        <f ca="1">AVERAGE(Hoja1!R10:S10)</f>
        <v>59927.988791160482</v>
      </c>
      <c r="N12" s="6">
        <f t="shared" ca="1" si="0"/>
        <v>2397319.5516464193</v>
      </c>
      <c r="O12" s="6">
        <f t="shared" si="1"/>
        <v>49086809.605625004</v>
      </c>
    </row>
    <row r="13" spans="5:17" x14ac:dyDescent="0.3">
      <c r="E13" s="52"/>
      <c r="F13" s="50" t="s">
        <v>18</v>
      </c>
      <c r="G13" s="51">
        <v>2007</v>
      </c>
      <c r="H13" s="5" t="s">
        <v>13</v>
      </c>
      <c r="I13" s="5">
        <v>8</v>
      </c>
      <c r="J13" s="6">
        <v>17.100000000000001</v>
      </c>
      <c r="K13" s="6">
        <f>AVERAGE(Hoja1!N11:O11)</f>
        <v>109975.078125</v>
      </c>
      <c r="L13" s="6">
        <f>AVERAGE(Hoja1!P11:Q11)</f>
        <v>19905.489140624999</v>
      </c>
      <c r="M13" s="6">
        <f ca="1">AVERAGE(Hoja1!R11:S11)</f>
        <v>83314.521002345078</v>
      </c>
      <c r="N13" s="6">
        <f t="shared" ca="1" si="0"/>
        <v>3677580.8400938031</v>
      </c>
      <c r="O13" s="6">
        <f t="shared" si="1"/>
        <v>59267598.641753912</v>
      </c>
    </row>
    <row r="14" spans="5:17" x14ac:dyDescent="0.3">
      <c r="E14" s="52"/>
      <c r="F14" s="50"/>
      <c r="G14" s="51"/>
      <c r="H14" s="5" t="s">
        <v>16</v>
      </c>
      <c r="I14" s="5">
        <v>9</v>
      </c>
      <c r="J14" s="6">
        <v>8.3000000000000007</v>
      </c>
      <c r="K14" s="6">
        <f>AVERAGE(Hoja1!N12:O12)</f>
        <v>50035.839285714275</v>
      </c>
      <c r="L14" s="6">
        <f>AVERAGE(Hoja1!P12:Q12)</f>
        <v>9056.486910714284</v>
      </c>
      <c r="M14" s="6">
        <f ca="1">AVERAGE(Hoja1!R12:S12)</f>
        <v>40439.211948506672</v>
      </c>
      <c r="N14" s="6">
        <f t="shared" ca="1" si="0"/>
        <v>1617768.477940267</v>
      </c>
      <c r="O14" s="6">
        <f t="shared" si="1"/>
        <v>26965236.952306248</v>
      </c>
    </row>
    <row r="15" spans="5:17" x14ac:dyDescent="0.3">
      <c r="E15" s="52"/>
      <c r="F15" s="50" t="s">
        <v>19</v>
      </c>
      <c r="G15" s="51">
        <v>2007</v>
      </c>
      <c r="H15" s="5" t="s">
        <v>13</v>
      </c>
      <c r="I15" s="5">
        <v>10</v>
      </c>
      <c r="J15" s="6">
        <v>7.2</v>
      </c>
      <c r="K15" s="6">
        <f>AVERAGE(Hoja1!N13:O13)</f>
        <v>9565.046875</v>
      </c>
      <c r="L15" s="6">
        <f>AVERAGE(Hoja1!P13:Q13)</f>
        <v>1731.273484375</v>
      </c>
      <c r="M15" s="6">
        <f ca="1">AVERAGE(Hoja1!R13:S13)</f>
        <v>35079.798316776869</v>
      </c>
      <c r="N15" s="6">
        <f t="shared" ca="1" si="0"/>
        <v>1748191.9326710748</v>
      </c>
      <c r="O15" s="6">
        <f t="shared" si="1"/>
        <v>5154780.2360523436</v>
      </c>
    </row>
    <row r="16" spans="5:17" x14ac:dyDescent="0.3">
      <c r="E16" s="52"/>
      <c r="F16" s="50"/>
      <c r="G16" s="51"/>
      <c r="H16" s="5" t="s">
        <v>14</v>
      </c>
      <c r="I16" s="5">
        <v>11</v>
      </c>
      <c r="J16" s="6">
        <v>14.7</v>
      </c>
      <c r="K16" s="6">
        <f>AVERAGE(Hoja1!N14:O14)</f>
        <v>27649</v>
      </c>
      <c r="L16" s="6">
        <f>AVERAGE(Hoja1!P14:Q14)</f>
        <v>5004.4690000000001</v>
      </c>
      <c r="M16" s="6">
        <f ca="1">AVERAGE(Hoja1!R14:S14)</f>
        <v>71621.254896752769</v>
      </c>
      <c r="N16" s="6">
        <f t="shared" ca="1" si="0"/>
        <v>2865050.1958701108</v>
      </c>
      <c r="O16" s="6">
        <f t="shared" si="1"/>
        <v>14900556.22405</v>
      </c>
    </row>
    <row r="17" spans="5:15" x14ac:dyDescent="0.3">
      <c r="E17" s="52"/>
      <c r="F17" s="50"/>
      <c r="G17" s="51"/>
      <c r="H17" s="5" t="s">
        <v>20</v>
      </c>
      <c r="I17" s="5">
        <v>12</v>
      </c>
      <c r="J17" s="6">
        <v>5.7</v>
      </c>
      <c r="K17" s="6">
        <f>AVERAGE(Hoja1!N15:O15)</f>
        <v>370.5</v>
      </c>
      <c r="L17" s="6">
        <f>AVERAGE(Hoja1!P15:Q15)</f>
        <v>67.060500000000005</v>
      </c>
      <c r="M17" s="6">
        <f ca="1">AVERAGE(Hoja1!R15:S15)</f>
        <v>27771.50700078169</v>
      </c>
      <c r="N17" s="6">
        <f t="shared" ca="1" si="0"/>
        <v>1111060.2800312676</v>
      </c>
      <c r="O17" s="6">
        <f t="shared" si="1"/>
        <v>199669.28572500002</v>
      </c>
    </row>
    <row r="18" spans="5:15" x14ac:dyDescent="0.3">
      <c r="E18" s="52"/>
      <c r="F18" s="50" t="s">
        <v>21</v>
      </c>
      <c r="G18" s="51">
        <v>2007</v>
      </c>
      <c r="H18" s="5" t="s">
        <v>13</v>
      </c>
      <c r="I18" s="5">
        <v>13</v>
      </c>
      <c r="J18" s="6">
        <v>10.5</v>
      </c>
      <c r="K18" s="6">
        <f>AVERAGE(Hoja1!N16:O16)</f>
        <v>32056.5390625</v>
      </c>
      <c r="L18" s="6">
        <f>AVERAGE(Hoja1!P16:Q16)</f>
        <v>5802.2335703125</v>
      </c>
      <c r="M18" s="6">
        <f ca="1">AVERAGE(Hoja1!R16:S16)</f>
        <v>51158.039211966272</v>
      </c>
      <c r="N18" s="6">
        <f t="shared" ca="1" si="0"/>
        <v>2391321.5684786509</v>
      </c>
      <c r="O18" s="6">
        <f t="shared" si="1"/>
        <v>17275860.343926955</v>
      </c>
    </row>
    <row r="19" spans="5:15" x14ac:dyDescent="0.3">
      <c r="E19" s="52"/>
      <c r="F19" s="50"/>
      <c r="G19" s="51"/>
      <c r="H19" s="5" t="s">
        <v>16</v>
      </c>
      <c r="I19" s="5">
        <v>14</v>
      </c>
      <c r="J19" s="6">
        <v>4.8</v>
      </c>
      <c r="K19" s="6">
        <f>AVERAGE(Hoja1!N17:O17)</f>
        <v>21009.375</v>
      </c>
      <c r="L19" s="6">
        <f>AVERAGE(Hoja1!P17:Q17)</f>
        <v>3802.6968750000001</v>
      </c>
      <c r="M19" s="6">
        <f ca="1">AVERAGE(Hoja1!R17:S17)</f>
        <v>23386.532211184578</v>
      </c>
      <c r="N19" s="6">
        <f t="shared" ca="1" si="0"/>
        <v>935661.28844738309</v>
      </c>
      <c r="O19" s="6">
        <f t="shared" si="1"/>
        <v>11322339.810468752</v>
      </c>
    </row>
    <row r="20" spans="5:15" x14ac:dyDescent="0.3">
      <c r="E20" s="53">
        <v>2</v>
      </c>
      <c r="F20" s="48" t="s">
        <v>12</v>
      </c>
      <c r="G20" s="48">
        <v>2008</v>
      </c>
      <c r="H20" s="23" t="s">
        <v>14</v>
      </c>
      <c r="I20" s="5">
        <v>15</v>
      </c>
      <c r="J20" s="24">
        <v>24.015000000000001</v>
      </c>
      <c r="K20" s="6">
        <f>AVERAGE(Hoja1!N18:O18)</f>
        <v>87930.431818181809</v>
      </c>
      <c r="L20" s="6">
        <f>AVERAGE(Hoja1!P18:Q18)</f>
        <v>15915.408159090906</v>
      </c>
      <c r="M20" s="6">
        <f ca="1">AVERAGE(Hoja1!R18:S18)</f>
        <v>122902.92696500556</v>
      </c>
      <c r="N20" s="6">
        <f t="shared" ca="1" si="0"/>
        <v>4916317.0786002222</v>
      </c>
      <c r="O20" s="6">
        <f t="shared" si="1"/>
        <v>47387332.023285218</v>
      </c>
    </row>
    <row r="21" spans="5:15" x14ac:dyDescent="0.3">
      <c r="E21" s="53"/>
      <c r="F21" s="48"/>
      <c r="G21" s="48"/>
      <c r="H21" s="23" t="s">
        <v>20</v>
      </c>
      <c r="I21" s="5">
        <v>16</v>
      </c>
      <c r="J21" s="24">
        <v>10.2875</v>
      </c>
      <c r="K21" s="6">
        <f>AVERAGE(Hoja1!N19:O19)</f>
        <v>23526.353500000001</v>
      </c>
      <c r="L21" s="6">
        <f>AVERAGE(Hoja1!P19:Q19)</f>
        <v>4258.2699835000003</v>
      </c>
      <c r="M21" s="6">
        <f ca="1">AVERAGE(Hoja1!R19:S19)</f>
        <v>52648.921971788252</v>
      </c>
      <c r="N21" s="6">
        <f t="shared" ca="1" si="0"/>
        <v>2106156.8788715303</v>
      </c>
      <c r="O21" s="6">
        <f t="shared" si="1"/>
        <v>12678785.962372078</v>
      </c>
    </row>
    <row r="22" spans="5:15" x14ac:dyDescent="0.3">
      <c r="E22" s="53"/>
      <c r="F22" s="48" t="s">
        <v>15</v>
      </c>
      <c r="G22" s="48">
        <v>2008</v>
      </c>
      <c r="H22" s="23" t="s">
        <v>14</v>
      </c>
      <c r="I22" s="5">
        <v>17</v>
      </c>
      <c r="J22" s="24">
        <v>19.196642685851319</v>
      </c>
      <c r="K22" s="6">
        <f>AVERAGE(Hoja1!N20:O20)</f>
        <v>83370.5</v>
      </c>
      <c r="L22" s="6">
        <f>AVERAGE(Hoja1!P20:Q20)</f>
        <v>15090.0605</v>
      </c>
      <c r="M22" s="6">
        <f ca="1">AVERAGE(Hoja1!R20:S20)</f>
        <v>98243.746574744655</v>
      </c>
      <c r="N22" s="6">
        <f t="shared" ca="1" si="0"/>
        <v>3929949.8629897861</v>
      </c>
      <c r="O22" s="6">
        <f t="shared" si="1"/>
        <v>44929900.635724999</v>
      </c>
    </row>
    <row r="23" spans="5:15" x14ac:dyDescent="0.3">
      <c r="E23" s="53"/>
      <c r="F23" s="48"/>
      <c r="G23" s="48"/>
      <c r="H23" s="23" t="s">
        <v>14</v>
      </c>
      <c r="I23" s="5">
        <v>18</v>
      </c>
      <c r="J23" s="24">
        <v>13.385</v>
      </c>
      <c r="K23" s="6">
        <f>AVERAGE(Hoja1!N21:O21)</f>
        <v>6017.875</v>
      </c>
      <c r="L23" s="6">
        <f>AVERAGE(Hoja1!P21:Q21)</f>
        <v>1089.2353749999997</v>
      </c>
      <c r="M23" s="6">
        <f ca="1">AVERAGE(Hoja1!R21:S21)</f>
        <v>68501.17332611281</v>
      </c>
      <c r="N23" s="6">
        <f t="shared" ca="1" si="0"/>
        <v>2740246.9330445123</v>
      </c>
      <c r="O23" s="6">
        <f t="shared" si="1"/>
        <v>3243143.8672937495</v>
      </c>
    </row>
    <row r="24" spans="5:15" x14ac:dyDescent="0.3">
      <c r="E24" s="53"/>
      <c r="F24" s="48"/>
      <c r="G24" s="48"/>
      <c r="H24" s="23" t="s">
        <v>22</v>
      </c>
      <c r="I24" s="5">
        <v>19</v>
      </c>
      <c r="J24" s="24">
        <v>8.2254196642685855</v>
      </c>
      <c r="K24" s="6">
        <f>AVERAGE(Hoja1!N22:O22)</f>
        <v>951.5</v>
      </c>
      <c r="L24" s="6">
        <f>AVERAGE(Hoja1!P22:Q22)</f>
        <v>172.22149999999999</v>
      </c>
      <c r="M24" s="6">
        <f ca="1">AVERAGE(Hoja1!R22:S22)</f>
        <v>42095.696533588278</v>
      </c>
      <c r="N24" s="6">
        <f t="shared" ca="1" si="0"/>
        <v>1684027.8613435312</v>
      </c>
      <c r="O24" s="6">
        <f t="shared" si="1"/>
        <v>512780.90517499996</v>
      </c>
    </row>
    <row r="25" spans="5:15" x14ac:dyDescent="0.3">
      <c r="E25" s="53"/>
      <c r="F25" s="48"/>
      <c r="G25" s="48"/>
      <c r="H25" s="23" t="s">
        <v>22</v>
      </c>
      <c r="I25" s="5">
        <v>20</v>
      </c>
      <c r="J25" s="24">
        <v>3.5225</v>
      </c>
      <c r="K25" s="6">
        <f>AVERAGE(Hoja1!N23:O23)</f>
        <v>5508.5</v>
      </c>
      <c r="L25" s="6">
        <f>AVERAGE(Hoja1!P23:Q23)</f>
        <v>997.03849999999989</v>
      </c>
      <c r="M25" s="6">
        <f ca="1">AVERAGE(Hoja1!R23:S23)</f>
        <v>18027.297948541829</v>
      </c>
      <c r="N25" s="6">
        <f t="shared" ca="1" si="0"/>
        <v>721291.91794167319</v>
      </c>
      <c r="O25" s="6">
        <f t="shared" si="1"/>
        <v>2968632.281825</v>
      </c>
    </row>
    <row r="26" spans="5:15" x14ac:dyDescent="0.3">
      <c r="E26" s="53"/>
      <c r="F26" s="48"/>
      <c r="G26" s="48"/>
      <c r="H26" s="23" t="s">
        <v>23</v>
      </c>
      <c r="I26" s="5">
        <v>21</v>
      </c>
      <c r="J26" s="24">
        <v>2.2124999999999999</v>
      </c>
      <c r="K26" s="6">
        <f>AVERAGE(Hoja1!N24:O24)</f>
        <v>459</v>
      </c>
      <c r="L26" s="6">
        <f>AVERAGE(Hoja1!P24:Q24)</f>
        <v>83.079000000000008</v>
      </c>
      <c r="M26" s="6">
        <f ca="1">AVERAGE(Hoja1!R24:S24)</f>
        <v>11323.036681660411</v>
      </c>
      <c r="N26" s="6">
        <f t="shared" ca="1" si="0"/>
        <v>453121.46726641641</v>
      </c>
      <c r="O26" s="6">
        <f t="shared" si="1"/>
        <v>247363.56855000003</v>
      </c>
    </row>
    <row r="27" spans="5:15" x14ac:dyDescent="0.3">
      <c r="E27" s="52">
        <v>3</v>
      </c>
      <c r="F27" s="49" t="s">
        <v>24</v>
      </c>
      <c r="G27" s="49">
        <v>2009</v>
      </c>
      <c r="H27" s="9" t="s">
        <v>13</v>
      </c>
      <c r="I27" s="5">
        <v>22</v>
      </c>
      <c r="J27" s="5">
        <v>5.7225225225225227</v>
      </c>
      <c r="K27" s="6">
        <f>AVERAGE(Hoja1!N25:O25)</f>
        <v>23268.962800000001</v>
      </c>
      <c r="L27" s="6">
        <f>AVERAGE(Hoja1!P25:Q25)</f>
        <v>4211.6822667999995</v>
      </c>
      <c r="M27" s="6">
        <f ca="1">AVERAGE(Hoja1!R25:S25)</f>
        <v>14690.157495768277</v>
      </c>
      <c r="N27" s="6">
        <f t="shared" ca="1" si="0"/>
        <v>932606.29983073112</v>
      </c>
      <c r="O27" s="6">
        <f t="shared" si="1"/>
        <v>12540073.365283659</v>
      </c>
    </row>
    <row r="28" spans="5:15" x14ac:dyDescent="0.3">
      <c r="E28" s="52"/>
      <c r="F28" s="49"/>
      <c r="G28" s="49"/>
      <c r="H28" s="9" t="s">
        <v>14</v>
      </c>
      <c r="I28" s="5">
        <v>23</v>
      </c>
      <c r="J28" s="5">
        <v>2.4676258992805757</v>
      </c>
      <c r="K28" s="6">
        <f>AVERAGE(Hoja1!N26:O26)</f>
        <v>4056.4732142857142</v>
      </c>
      <c r="L28" s="6">
        <f>AVERAGE(Hoja1!P26:Q26)</f>
        <v>734.22165178571424</v>
      </c>
      <c r="M28" s="6">
        <f ca="1">AVERAGE(Hoja1!R26:S26)</f>
        <v>6334.5863573970428</v>
      </c>
      <c r="N28" s="6">
        <f t="shared" ca="1" si="0"/>
        <v>253583.4542958817</v>
      </c>
      <c r="O28" s="6">
        <f t="shared" si="1"/>
        <v>2186108.2571093747</v>
      </c>
    </row>
    <row r="29" spans="5:15" x14ac:dyDescent="0.3">
      <c r="E29" s="52"/>
      <c r="F29" s="47" t="s">
        <v>25</v>
      </c>
      <c r="G29" s="47">
        <v>2009</v>
      </c>
      <c r="H29" s="18" t="s">
        <v>13</v>
      </c>
      <c r="I29" s="5">
        <v>24</v>
      </c>
      <c r="J29" s="5">
        <v>11.073873873873874</v>
      </c>
      <c r="K29" s="6">
        <f>AVERAGE(Hoja1!N27:O27)</f>
        <v>32092.245000000003</v>
      </c>
      <c r="L29" s="6">
        <f>AVERAGE(Hoja1!P27:Q27)</f>
        <v>5808.6963450000003</v>
      </c>
      <c r="M29" s="6">
        <f ca="1">AVERAGE(Hoja1!R27:S27)</f>
        <v>28427.489914669968</v>
      </c>
      <c r="N29" s="6">
        <f t="shared" ca="1" si="0"/>
        <v>1482099.5965867988</v>
      </c>
      <c r="O29" s="6">
        <f t="shared" si="1"/>
        <v>17295102.932420254</v>
      </c>
    </row>
    <row r="30" spans="5:15" x14ac:dyDescent="0.3">
      <c r="E30" s="52"/>
      <c r="F30" s="47"/>
      <c r="G30" s="47"/>
      <c r="H30" s="18" t="s">
        <v>14</v>
      </c>
      <c r="I30" s="5">
        <v>25</v>
      </c>
      <c r="J30" s="5">
        <v>5.4652278177458031</v>
      </c>
      <c r="K30" s="6">
        <f>AVERAGE(Hoja1!N28:O28)</f>
        <v>18018</v>
      </c>
      <c r="L30" s="6">
        <f>AVERAGE(Hoja1!P28:Q28)</f>
        <v>3261.2579999999998</v>
      </c>
      <c r="M30" s="6">
        <f ca="1">AVERAGE(Hoja1!R28:S28)</f>
        <v>14029.662107393448</v>
      </c>
      <c r="N30" s="6">
        <f t="shared" ca="1" si="0"/>
        <v>561386.48429573793</v>
      </c>
      <c r="O30" s="6">
        <f t="shared" si="1"/>
        <v>9710232.632100001</v>
      </c>
    </row>
    <row r="31" spans="5:15" x14ac:dyDescent="0.3">
      <c r="E31" s="52"/>
      <c r="F31" s="47" t="s">
        <v>26</v>
      </c>
      <c r="G31" s="47">
        <v>2009</v>
      </c>
      <c r="H31" s="18" t="s">
        <v>13</v>
      </c>
      <c r="I31" s="5">
        <v>26</v>
      </c>
      <c r="J31" s="5">
        <v>14.992792792792793</v>
      </c>
      <c r="K31" s="6">
        <f>AVERAGE(Hoja1!N29:O29)</f>
        <v>19306</v>
      </c>
      <c r="L31" s="6">
        <f>AVERAGE(Hoja1!P29:Q29)</f>
        <v>3494.386</v>
      </c>
      <c r="M31" s="6">
        <f ca="1">AVERAGE(Hoja1!R29:S29)</f>
        <v>38487.657595178789</v>
      </c>
      <c r="N31" s="6">
        <f t="shared" ca="1" si="0"/>
        <v>1884506.3038071515</v>
      </c>
      <c r="O31" s="6">
        <f t="shared" si="1"/>
        <v>10404359.595699999</v>
      </c>
    </row>
    <row r="32" spans="5:15" x14ac:dyDescent="0.3">
      <c r="E32" s="52"/>
      <c r="F32" s="47"/>
      <c r="G32" s="47"/>
      <c r="H32" s="18" t="s">
        <v>14</v>
      </c>
      <c r="I32" s="5">
        <v>27</v>
      </c>
      <c r="J32" s="5">
        <v>0.66426858513189446</v>
      </c>
      <c r="K32" s="6">
        <f>AVERAGE(Hoja1!N30:O30)</f>
        <v>1563.5</v>
      </c>
      <c r="L32" s="6">
        <f>AVERAGE(Hoja1!P30:Q30)</f>
        <v>282.99350000000004</v>
      </c>
      <c r="M32" s="6">
        <f ca="1">AVERAGE(Hoja1!R30:S30)</f>
        <v>1705.2287861992038</v>
      </c>
      <c r="N32" s="6">
        <f t="shared" ca="1" si="0"/>
        <v>68409.15144796815</v>
      </c>
      <c r="O32" s="6">
        <f t="shared" si="1"/>
        <v>842598.99657500023</v>
      </c>
    </row>
    <row r="33" spans="5:15" x14ac:dyDescent="0.3">
      <c r="E33" s="52"/>
      <c r="F33" s="47"/>
      <c r="G33" s="47"/>
      <c r="H33" s="18" t="s">
        <v>20</v>
      </c>
      <c r="I33" s="5">
        <v>28</v>
      </c>
      <c r="J33" s="5">
        <v>5.6091127098321341</v>
      </c>
      <c r="K33" s="6">
        <f>AVERAGE(Hoja1!N31:O31)</f>
        <v>2777</v>
      </c>
      <c r="L33" s="6">
        <f>AVERAGE(Hoja1!P31:Q31)</f>
        <v>502.637</v>
      </c>
      <c r="M33" s="6">
        <f ca="1">AVERAGE(Hoja1!R31:S31)</f>
        <v>14399.025743393277</v>
      </c>
      <c r="N33" s="6">
        <f t="shared" ca="1" si="0"/>
        <v>576161.02973573108</v>
      </c>
      <c r="O33" s="6">
        <f t="shared" si="1"/>
        <v>1496576.53565</v>
      </c>
    </row>
  </sheetData>
  <mergeCells count="25">
    <mergeCell ref="F13:F14"/>
    <mergeCell ref="G13:G14"/>
    <mergeCell ref="E27:E33"/>
    <mergeCell ref="F27:F28"/>
    <mergeCell ref="E6:E19"/>
    <mergeCell ref="F6:F7"/>
    <mergeCell ref="G6:G7"/>
    <mergeCell ref="F8:F10"/>
    <mergeCell ref="G8:G10"/>
    <mergeCell ref="F11:F12"/>
    <mergeCell ref="G11:G12"/>
    <mergeCell ref="F15:F17"/>
    <mergeCell ref="G15:G17"/>
    <mergeCell ref="F18:F19"/>
    <mergeCell ref="G18:G19"/>
    <mergeCell ref="E20:E26"/>
    <mergeCell ref="F29:F30"/>
    <mergeCell ref="G29:G30"/>
    <mergeCell ref="F31:F33"/>
    <mergeCell ref="G31:G33"/>
    <mergeCell ref="F20:F21"/>
    <mergeCell ref="G20:G21"/>
    <mergeCell ref="F22:F26"/>
    <mergeCell ref="G22:G26"/>
    <mergeCell ref="G27:G28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2"/>
  <sheetViews>
    <sheetView workbookViewId="0">
      <selection activeCell="X29" sqref="X29:AE29"/>
    </sheetView>
  </sheetViews>
  <sheetFormatPr baseColWidth="10" defaultRowHeight="14.4" x14ac:dyDescent="0.3"/>
  <cols>
    <col min="4" max="4" width="12.6640625" customWidth="1"/>
    <col min="11" max="11" width="12.33203125" bestFit="1" customWidth="1"/>
    <col min="13" max="13" width="12.33203125" bestFit="1" customWidth="1"/>
    <col min="18" max="19" width="12.33203125" bestFit="1" customWidth="1"/>
    <col min="36" max="37" width="12.33203125" bestFit="1" customWidth="1"/>
  </cols>
  <sheetData>
    <row r="1" spans="1:48" x14ac:dyDescent="0.3">
      <c r="AD1" t="s">
        <v>52</v>
      </c>
      <c r="AE1" t="s">
        <v>52</v>
      </c>
    </row>
    <row r="2" spans="1:48" x14ac:dyDescent="0.3">
      <c r="A2" s="43" t="s">
        <v>38</v>
      </c>
      <c r="B2" s="32" t="s">
        <v>39</v>
      </c>
      <c r="D2" s="41" t="s">
        <v>3</v>
      </c>
      <c r="E2" s="1" t="s">
        <v>33</v>
      </c>
      <c r="F2" s="32" t="s">
        <v>5</v>
      </c>
      <c r="G2" s="30" t="s">
        <v>29</v>
      </c>
      <c r="H2" s="30" t="s">
        <v>29</v>
      </c>
      <c r="I2" s="30" t="s">
        <v>35</v>
      </c>
      <c r="J2" s="30" t="s">
        <v>35</v>
      </c>
      <c r="M2" s="1" t="s">
        <v>33</v>
      </c>
      <c r="N2" s="35" t="s">
        <v>34</v>
      </c>
      <c r="O2" s="35" t="s">
        <v>34</v>
      </c>
      <c r="P2" s="30" t="s">
        <v>28</v>
      </c>
      <c r="Q2" s="30" t="s">
        <v>28</v>
      </c>
      <c r="R2" s="30" t="s">
        <v>36</v>
      </c>
      <c r="S2" s="30" t="s">
        <v>36</v>
      </c>
      <c r="X2" t="s">
        <v>3</v>
      </c>
      <c r="Y2" s="35" t="s">
        <v>33</v>
      </c>
      <c r="Z2" s="35" t="s">
        <v>40</v>
      </c>
      <c r="AA2" s="35" t="s">
        <v>41</v>
      </c>
      <c r="AB2" s="35" t="s">
        <v>42</v>
      </c>
      <c r="AC2" s="35" t="s">
        <v>43</v>
      </c>
      <c r="AD2" s="35" t="s">
        <v>44</v>
      </c>
      <c r="AE2" s="35" t="s">
        <v>45</v>
      </c>
      <c r="AF2" s="35" t="s">
        <v>46</v>
      </c>
      <c r="AG2" s="35" t="s">
        <v>47</v>
      </c>
      <c r="AH2" s="30" t="s">
        <v>48</v>
      </c>
      <c r="AI2" s="30" t="s">
        <v>49</v>
      </c>
      <c r="AJ2" s="30" t="s">
        <v>50</v>
      </c>
      <c r="AK2" s="30" t="s">
        <v>51</v>
      </c>
      <c r="AN2" s="35" t="s">
        <v>33</v>
      </c>
      <c r="AO2" s="35" t="s">
        <v>40</v>
      </c>
      <c r="AP2" s="35" t="s">
        <v>41</v>
      </c>
      <c r="AQ2" s="35" t="s">
        <v>42</v>
      </c>
      <c r="AR2" s="35" t="s">
        <v>43</v>
      </c>
      <c r="AS2" s="35" t="s">
        <v>46</v>
      </c>
      <c r="AT2" s="35" t="s">
        <v>47</v>
      </c>
      <c r="AU2" s="30" t="s">
        <v>50</v>
      </c>
      <c r="AV2" s="30" t="s">
        <v>51</v>
      </c>
    </row>
    <row r="3" spans="1:48" x14ac:dyDescent="0.3">
      <c r="A3" t="s">
        <v>13</v>
      </c>
      <c r="B3" s="44">
        <f>SUMIFS($F$3:$F$30,Tabla1[Variedades],A3)</f>
        <v>154.18918918918916</v>
      </c>
      <c r="D3" s="37" t="s">
        <v>13</v>
      </c>
      <c r="E3" s="5">
        <v>1</v>
      </c>
      <c r="F3" s="6">
        <v>27.4</v>
      </c>
      <c r="G3" s="6">
        <v>88998.747581452422</v>
      </c>
      <c r="H3" s="6">
        <v>177997.49516290484</v>
      </c>
      <c r="I3" s="6">
        <f>F35*(1-0.05)</f>
        <v>5400678.6121427882</v>
      </c>
      <c r="J3" s="6">
        <f>F35*(1+0.05)</f>
        <v>5969171.0976315029</v>
      </c>
      <c r="M3" s="5">
        <v>1</v>
      </c>
      <c r="N3" s="6">
        <v>208680</v>
      </c>
      <c r="O3" s="6">
        <v>219660.703125</v>
      </c>
      <c r="P3" s="6">
        <v>37771.08</v>
      </c>
      <c r="Q3" s="6">
        <v>39758.587265624999</v>
      </c>
      <c r="R3" s="6">
        <f>J35*(1-0.05)</f>
        <v>109649336.2050167</v>
      </c>
      <c r="S3" s="6">
        <f>J35*(1+0.05)</f>
        <v>121191371.59501848</v>
      </c>
      <c r="X3" t="s">
        <v>13</v>
      </c>
      <c r="Y3" s="5">
        <v>1</v>
      </c>
      <c r="Z3" s="6">
        <v>27.4</v>
      </c>
      <c r="AA3" s="6">
        <v>27.4</v>
      </c>
      <c r="AB3" s="6">
        <v>88998.747581452422</v>
      </c>
      <c r="AC3" s="6">
        <v>177997.49516290484</v>
      </c>
      <c r="AD3" s="6">
        <v>5739.2971436161406</v>
      </c>
      <c r="AE3" s="6">
        <v>6343.4336850494183</v>
      </c>
      <c r="AF3" s="6">
        <v>208680</v>
      </c>
      <c r="AG3" s="6">
        <v>219660.703125</v>
      </c>
      <c r="AH3" s="6">
        <v>37771.08</v>
      </c>
      <c r="AI3" s="6">
        <v>39758.587265624999</v>
      </c>
      <c r="AJ3" s="6">
        <v>116524.26801808363</v>
      </c>
      <c r="AK3" s="6">
        <v>128789.98044103982</v>
      </c>
      <c r="AN3" s="5">
        <v>1</v>
      </c>
      <c r="AO3" s="46">
        <v>27.4</v>
      </c>
      <c r="AP3" s="46">
        <v>27.4</v>
      </c>
      <c r="AQ3" s="46">
        <v>88998.747581452422</v>
      </c>
      <c r="AR3" s="46">
        <v>177997.49516290484</v>
      </c>
      <c r="AS3" s="6">
        <v>208680</v>
      </c>
      <c r="AT3" s="6">
        <v>219660.703125</v>
      </c>
      <c r="AU3" s="6">
        <v>116524.26801808363</v>
      </c>
      <c r="AV3" s="6">
        <v>128789.98044103982</v>
      </c>
    </row>
    <row r="4" spans="1:48" x14ac:dyDescent="0.3">
      <c r="A4" s="23" t="s">
        <v>22</v>
      </c>
      <c r="B4" s="44">
        <f>SUMIFS($F$3:$F$30,Tabla1[Variedades],A4)</f>
        <v>11.747919664268586</v>
      </c>
      <c r="D4" s="37" t="s">
        <v>14</v>
      </c>
      <c r="E4" s="5">
        <v>2</v>
      </c>
      <c r="F4" s="6">
        <v>11.3</v>
      </c>
      <c r="G4" s="6">
        <v>36703.863053664689</v>
      </c>
      <c r="H4" s="6">
        <v>73407.726107329378</v>
      </c>
      <c r="I4" s="6">
        <f t="shared" ref="I4:I30" si="0">F36*(1-0.05)</f>
        <v>2092310.1940588872</v>
      </c>
      <c r="J4" s="6">
        <f t="shared" ref="J4:J30" si="1">F36*(1+0.05)</f>
        <v>2312553.3723808755</v>
      </c>
      <c r="M4" s="5">
        <v>2</v>
      </c>
      <c r="N4" s="6">
        <v>17821</v>
      </c>
      <c r="O4" s="6">
        <v>25167.857142857141</v>
      </c>
      <c r="P4" s="6">
        <v>3225.6010000000001</v>
      </c>
      <c r="Q4" s="6">
        <v>4555.3821428571428</v>
      </c>
      <c r="R4" s="6">
        <f t="shared" ref="R4:R30" si="2">J36*(1-0.05)</f>
        <v>11004556.922882501</v>
      </c>
      <c r="S4" s="6">
        <f t="shared" ref="S4:S30" si="3">J36*(1+0.05)</f>
        <v>12162931.335817501</v>
      </c>
      <c r="X4" t="s">
        <v>14</v>
      </c>
      <c r="Y4" s="5">
        <v>2</v>
      </c>
      <c r="Z4" s="6">
        <v>11.3</v>
      </c>
      <c r="AA4" s="6">
        <v>11.3</v>
      </c>
      <c r="AB4" s="6">
        <v>36703.863053664689</v>
      </c>
      <c r="AC4" s="6">
        <v>73407.726107329378</v>
      </c>
      <c r="AD4" s="6">
        <v>2223.4964867788385</v>
      </c>
      <c r="AE4" s="6">
        <v>2457.5487485450326</v>
      </c>
      <c r="AF4" s="6">
        <v>17821</v>
      </c>
      <c r="AG4" s="6">
        <v>25167.857142857141</v>
      </c>
      <c r="AH4" s="6">
        <v>3225.6010000000001</v>
      </c>
      <c r="AI4" s="6">
        <v>4555.3821428571428</v>
      </c>
      <c r="AJ4" s="6">
        <v>11694.534455773115</v>
      </c>
      <c r="AK4" s="6">
        <v>12925.538082696601</v>
      </c>
      <c r="AN4" s="5">
        <v>2</v>
      </c>
      <c r="AO4" s="46">
        <v>11.3</v>
      </c>
      <c r="AP4" s="46">
        <v>11.3</v>
      </c>
      <c r="AQ4" s="46">
        <v>36703.863053664689</v>
      </c>
      <c r="AR4" s="46">
        <v>73407.726107329378</v>
      </c>
      <c r="AS4" s="6">
        <v>17821</v>
      </c>
      <c r="AT4" s="6">
        <v>25167.857142857141</v>
      </c>
      <c r="AU4" s="6">
        <v>11694.534455773115</v>
      </c>
      <c r="AV4" s="6">
        <v>12925.538082696601</v>
      </c>
    </row>
    <row r="5" spans="1:48" x14ac:dyDescent="0.3">
      <c r="A5" s="5" t="s">
        <v>16</v>
      </c>
      <c r="B5" s="44">
        <f>SUMIFS($F$3:$F$30,Tabla1[Variedades],A5)</f>
        <v>31.6</v>
      </c>
      <c r="D5" s="37" t="s">
        <v>13</v>
      </c>
      <c r="E5" s="5">
        <v>3</v>
      </c>
      <c r="F5" s="6">
        <v>32.200000000000003</v>
      </c>
      <c r="G5" s="6">
        <v>104589.76905557548</v>
      </c>
      <c r="H5" s="6">
        <v>209179.53811115096</v>
      </c>
      <c r="I5" s="6">
        <f t="shared" si="0"/>
        <v>6289366.8361678021</v>
      </c>
      <c r="J5" s="6">
        <f t="shared" si="1"/>
        <v>6951405.4505012548</v>
      </c>
      <c r="M5" s="5">
        <v>3</v>
      </c>
      <c r="N5" s="6">
        <v>265600</v>
      </c>
      <c r="O5" s="6">
        <v>267416</v>
      </c>
      <c r="P5" s="6">
        <v>48073.599999999999</v>
      </c>
      <c r="Q5" s="6">
        <v>48402.296000000002</v>
      </c>
      <c r="R5" s="6">
        <f t="shared" si="2"/>
        <v>136444774.35897002</v>
      </c>
      <c r="S5" s="6">
        <f t="shared" si="3"/>
        <v>150807382.18623003</v>
      </c>
      <c r="X5" t="s">
        <v>13</v>
      </c>
      <c r="Y5" s="5">
        <v>3</v>
      </c>
      <c r="Z5" s="6">
        <v>32.200000000000003</v>
      </c>
      <c r="AA5" s="6">
        <v>32.200000000000003</v>
      </c>
      <c r="AB5" s="6">
        <v>104589.76905557548</v>
      </c>
      <c r="AC5" s="6">
        <v>209179.53811115096</v>
      </c>
      <c r="AD5" s="6">
        <v>6683.7054582017026</v>
      </c>
      <c r="AE5" s="6">
        <v>7387.2534011703028</v>
      </c>
      <c r="AF5" s="6">
        <v>265600</v>
      </c>
      <c r="AG5" s="6">
        <v>267416</v>
      </c>
      <c r="AH5" s="6">
        <v>48073.599999999999</v>
      </c>
      <c r="AI5" s="6">
        <v>48402.296000000002</v>
      </c>
      <c r="AJ5" s="6">
        <v>144999.76021144527</v>
      </c>
      <c r="AK5" s="6">
        <v>160262.89286528164</v>
      </c>
      <c r="AN5" s="5">
        <v>3</v>
      </c>
      <c r="AO5" s="46">
        <v>32.200000000000003</v>
      </c>
      <c r="AP5" s="46">
        <v>32.200000000000003</v>
      </c>
      <c r="AQ5" s="46">
        <v>104589.76905557548</v>
      </c>
      <c r="AR5" s="46">
        <v>209179.53811115096</v>
      </c>
      <c r="AS5" s="6">
        <v>265600</v>
      </c>
      <c r="AT5" s="6">
        <v>267416</v>
      </c>
      <c r="AU5" s="6">
        <v>144999.76021144527</v>
      </c>
      <c r="AV5" s="6">
        <v>160262.89286528164</v>
      </c>
    </row>
    <row r="6" spans="1:48" x14ac:dyDescent="0.3">
      <c r="A6" s="23" t="s">
        <v>14</v>
      </c>
      <c r="B6" s="44">
        <f>SUMIFS($F$3:$F$30,Tabla1[Variedades],A6)</f>
        <v>99.393764988009593</v>
      </c>
      <c r="D6" s="37" t="s">
        <v>14</v>
      </c>
      <c r="E6" s="5">
        <v>4</v>
      </c>
      <c r="F6" s="6">
        <v>8.1999999999999993</v>
      </c>
      <c r="G6" s="6">
        <v>26634.661684960214</v>
      </c>
      <c r="H6" s="6">
        <v>53269.323369920428</v>
      </c>
      <c r="I6" s="6">
        <f t="shared" si="0"/>
        <v>1518365.7160427321</v>
      </c>
      <c r="J6" s="6">
        <f t="shared" si="1"/>
        <v>1678193.6861524933</v>
      </c>
      <c r="M6" s="5">
        <v>4</v>
      </c>
      <c r="N6" s="6">
        <v>4954.0178571428569</v>
      </c>
      <c r="O6" s="6">
        <v>5080</v>
      </c>
      <c r="P6" s="6">
        <v>896.67723214285706</v>
      </c>
      <c r="Q6" s="6">
        <v>919.48</v>
      </c>
      <c r="R6" s="6">
        <f t="shared" si="2"/>
        <v>2568570.7416507811</v>
      </c>
      <c r="S6" s="6">
        <f t="shared" si="3"/>
        <v>2838946.6091929688</v>
      </c>
      <c r="X6" t="s">
        <v>14</v>
      </c>
      <c r="Y6" s="5">
        <v>4</v>
      </c>
      <c r="Z6" s="6">
        <v>8.1999999999999993</v>
      </c>
      <c r="AA6" s="6">
        <v>8.1999999999999993</v>
      </c>
      <c r="AB6" s="6">
        <v>26634.661684960214</v>
      </c>
      <c r="AC6" s="6">
        <v>53269.323369920428</v>
      </c>
      <c r="AD6" s="6">
        <v>1613.5661169423295</v>
      </c>
      <c r="AE6" s="6">
        <v>1783.4151818836274</v>
      </c>
      <c r="AF6" s="6">
        <v>4954.0178571428569</v>
      </c>
      <c r="AG6" s="6">
        <v>5080</v>
      </c>
      <c r="AH6" s="6">
        <v>896.67723214285706</v>
      </c>
      <c r="AI6" s="6">
        <v>919.48</v>
      </c>
      <c r="AJ6" s="6">
        <v>2729.6182164195338</v>
      </c>
      <c r="AK6" s="6">
        <v>3016.9464497268532</v>
      </c>
      <c r="AN6" s="5">
        <v>4</v>
      </c>
      <c r="AO6" s="46">
        <v>8.1999999999999993</v>
      </c>
      <c r="AP6" s="46">
        <v>8.1999999999999993</v>
      </c>
      <c r="AQ6" s="46">
        <v>26634.661684960214</v>
      </c>
      <c r="AR6" s="46">
        <v>53269.323369920428</v>
      </c>
      <c r="AS6" s="6">
        <v>4954.0178571428569</v>
      </c>
      <c r="AT6" s="6">
        <v>5080</v>
      </c>
      <c r="AU6" s="6">
        <v>2729.6182164195338</v>
      </c>
      <c r="AV6" s="6">
        <v>3016.9464497268532</v>
      </c>
    </row>
    <row r="7" spans="1:48" x14ac:dyDescent="0.3">
      <c r="A7" s="18" t="s">
        <v>20</v>
      </c>
      <c r="B7" s="44">
        <f>SUMIFS($F$3:$F$30,Tabla1[Variedades],A7)</f>
        <v>21.596612709832137</v>
      </c>
      <c r="D7" s="37" t="s">
        <v>16</v>
      </c>
      <c r="E7" s="5">
        <v>5</v>
      </c>
      <c r="F7" s="6">
        <v>6.2</v>
      </c>
      <c r="G7" s="6">
        <v>20138.402737408942</v>
      </c>
      <c r="H7" s="6">
        <v>40276.805474817884</v>
      </c>
      <c r="I7" s="6">
        <f t="shared" si="0"/>
        <v>1148078.9560323097</v>
      </c>
      <c r="J7" s="6">
        <f t="shared" si="1"/>
        <v>1268929.3724567634</v>
      </c>
      <c r="M7" s="5">
        <v>5</v>
      </c>
      <c r="N7" s="6">
        <v>39743.785714285717</v>
      </c>
      <c r="O7" s="6">
        <v>49900</v>
      </c>
      <c r="P7" s="6">
        <v>7193.6252142857147</v>
      </c>
      <c r="Q7" s="6">
        <v>9031.9</v>
      </c>
      <c r="R7" s="6">
        <f t="shared" si="2"/>
        <v>22947577.773405626</v>
      </c>
      <c r="S7" s="6">
        <f t="shared" si="3"/>
        <v>25363112.275869377</v>
      </c>
      <c r="X7" t="s">
        <v>16</v>
      </c>
      <c r="Y7" s="5">
        <v>5</v>
      </c>
      <c r="Z7" s="6">
        <v>6.2</v>
      </c>
      <c r="AA7" s="6">
        <v>6.2</v>
      </c>
      <c r="AB7" s="6">
        <v>20138.402737408942</v>
      </c>
      <c r="AC7" s="6">
        <v>40276.805474817884</v>
      </c>
      <c r="AD7" s="6">
        <v>1220.0626525316786</v>
      </c>
      <c r="AE7" s="6">
        <v>1348.4903001665923</v>
      </c>
      <c r="AF7" s="6">
        <v>39743.785714285717</v>
      </c>
      <c r="AG7" s="6">
        <v>49900</v>
      </c>
      <c r="AH7" s="6">
        <v>7193.6252142857147</v>
      </c>
      <c r="AI7" s="6">
        <v>9031.9</v>
      </c>
      <c r="AJ7" s="6">
        <v>24386.37382933648</v>
      </c>
      <c r="AK7" s="6">
        <v>26953.360548214005</v>
      </c>
      <c r="AN7" s="5">
        <v>5</v>
      </c>
      <c r="AO7" s="46">
        <v>6.2</v>
      </c>
      <c r="AP7" s="46">
        <v>6.2</v>
      </c>
      <c r="AQ7" s="46">
        <v>20138.402737408942</v>
      </c>
      <c r="AR7" s="46">
        <v>40276.805474817884</v>
      </c>
      <c r="AS7" s="6">
        <v>39743.785714285717</v>
      </c>
      <c r="AT7" s="6">
        <v>49900</v>
      </c>
      <c r="AU7" s="6">
        <v>24386.37382933648</v>
      </c>
      <c r="AV7" s="6">
        <v>26953.360548214005</v>
      </c>
    </row>
    <row r="8" spans="1:48" x14ac:dyDescent="0.3">
      <c r="A8" s="23" t="s">
        <v>23</v>
      </c>
      <c r="B8" s="44">
        <f>SUMIFS($F$3:$F$30,Tabla1[Variedades],A8)</f>
        <v>2.2124999999999999</v>
      </c>
      <c r="D8" s="37" t="s">
        <v>13</v>
      </c>
      <c r="E8" s="5">
        <v>6</v>
      </c>
      <c r="F8" s="6">
        <v>28</v>
      </c>
      <c r="G8" s="6">
        <v>90947.625265717812</v>
      </c>
      <c r="H8" s="6">
        <v>181895.25053143562</v>
      </c>
      <c r="I8" s="6">
        <f t="shared" si="0"/>
        <v>5511764.6401459156</v>
      </c>
      <c r="J8" s="6">
        <f t="shared" si="1"/>
        <v>6091950.3917402225</v>
      </c>
      <c r="M8" s="5">
        <v>6</v>
      </c>
      <c r="N8" s="6">
        <v>186680</v>
      </c>
      <c r="O8" s="6">
        <v>195168.66125</v>
      </c>
      <c r="P8" s="6">
        <v>33789.08</v>
      </c>
      <c r="Q8" s="6">
        <v>35325.527686250003</v>
      </c>
      <c r="R8" s="6">
        <f t="shared" si="2"/>
        <v>97748012.111326918</v>
      </c>
      <c r="S8" s="6">
        <f t="shared" si="3"/>
        <v>108037276.54409818</v>
      </c>
      <c r="X8" t="s">
        <v>13</v>
      </c>
      <c r="Y8" s="5">
        <v>6</v>
      </c>
      <c r="Z8" s="6">
        <v>28</v>
      </c>
      <c r="AA8" s="6">
        <v>28</v>
      </c>
      <c r="AB8" s="6">
        <v>90947.625265717812</v>
      </c>
      <c r="AC8" s="6">
        <v>181895.25053143562</v>
      </c>
      <c r="AD8" s="6">
        <v>5857.3481829393368</v>
      </c>
      <c r="AE8" s="6">
        <v>6473.9111495645293</v>
      </c>
      <c r="AF8" s="6">
        <v>186680</v>
      </c>
      <c r="AG8" s="6">
        <v>195168.66125</v>
      </c>
      <c r="AH8" s="6">
        <v>33789.08</v>
      </c>
      <c r="AI8" s="6">
        <v>35325.527686250003</v>
      </c>
      <c r="AJ8" s="6">
        <v>103876.73975698929</v>
      </c>
      <c r="AK8" s="6">
        <v>114811.13341561976</v>
      </c>
      <c r="AN8" s="5">
        <v>6</v>
      </c>
      <c r="AO8" s="46">
        <v>28</v>
      </c>
      <c r="AP8" s="46">
        <v>28</v>
      </c>
      <c r="AQ8" s="46">
        <v>90947.625265717812</v>
      </c>
      <c r="AR8" s="46">
        <v>181895.25053143562</v>
      </c>
      <c r="AS8" s="6">
        <v>186680</v>
      </c>
      <c r="AT8" s="6">
        <v>195168.66125</v>
      </c>
      <c r="AU8" s="6">
        <v>103876.73975698929</v>
      </c>
      <c r="AV8" s="6">
        <v>114811.13341561976</v>
      </c>
    </row>
    <row r="9" spans="1:48" x14ac:dyDescent="0.3">
      <c r="D9" s="37" t="s">
        <v>16</v>
      </c>
      <c r="E9" s="5">
        <v>7</v>
      </c>
      <c r="F9" s="6">
        <v>12.3</v>
      </c>
      <c r="G9" s="6">
        <v>39951.992527440321</v>
      </c>
      <c r="H9" s="6">
        <v>79903.985054880643</v>
      </c>
      <c r="I9" s="6">
        <f t="shared" si="0"/>
        <v>2277453.5740640983</v>
      </c>
      <c r="J9" s="6">
        <f t="shared" si="1"/>
        <v>2517185.5292287404</v>
      </c>
      <c r="M9" s="5">
        <v>7</v>
      </c>
      <c r="N9" s="6">
        <v>77622.857142857145</v>
      </c>
      <c r="O9" s="6">
        <v>104545</v>
      </c>
      <c r="P9" s="6">
        <v>14049.737142857142</v>
      </c>
      <c r="Q9" s="6">
        <v>18922.645</v>
      </c>
      <c r="R9" s="6">
        <f t="shared" si="2"/>
        <v>46632469.125343755</v>
      </c>
      <c r="S9" s="6">
        <f t="shared" si="3"/>
        <v>51541150.085906252</v>
      </c>
      <c r="X9" t="s">
        <v>16</v>
      </c>
      <c r="Y9" s="5">
        <v>7</v>
      </c>
      <c r="Z9" s="6">
        <v>12.3</v>
      </c>
      <c r="AA9" s="6">
        <v>12.3</v>
      </c>
      <c r="AB9" s="6">
        <v>39951.992527440321</v>
      </c>
      <c r="AC9" s="6">
        <v>79903.985054880643</v>
      </c>
      <c r="AD9" s="6">
        <v>2420.2482189841639</v>
      </c>
      <c r="AE9" s="6">
        <v>2675.0111894035499</v>
      </c>
      <c r="AF9" s="6">
        <v>77622.857142857145</v>
      </c>
      <c r="AG9" s="6">
        <v>104545</v>
      </c>
      <c r="AH9" s="6">
        <v>14049.737142857142</v>
      </c>
      <c r="AI9" s="6">
        <v>18922.645</v>
      </c>
      <c r="AJ9" s="6">
        <v>49556.290250099635</v>
      </c>
      <c r="AK9" s="6">
        <v>54772.741855373279</v>
      </c>
      <c r="AN9" s="5">
        <v>7</v>
      </c>
      <c r="AO9" s="46">
        <v>12.3</v>
      </c>
      <c r="AP9" s="46">
        <v>12.3</v>
      </c>
      <c r="AQ9" s="46">
        <v>39951.992527440321</v>
      </c>
      <c r="AR9" s="46">
        <v>79903.985054880643</v>
      </c>
      <c r="AS9" s="6">
        <v>77622.857142857145</v>
      </c>
      <c r="AT9" s="6">
        <v>104545</v>
      </c>
      <c r="AU9" s="6">
        <v>49556.290250099635</v>
      </c>
      <c r="AV9" s="6">
        <v>54772.741855373279</v>
      </c>
    </row>
    <row r="10" spans="1:48" x14ac:dyDescent="0.3">
      <c r="B10" s="44">
        <f>SUM(B3:B8)</f>
        <v>320.73998655129947</v>
      </c>
      <c r="D10" s="37" t="s">
        <v>13</v>
      </c>
      <c r="E10" s="5">
        <v>8</v>
      </c>
      <c r="F10" s="6">
        <v>17.100000000000001</v>
      </c>
      <c r="G10" s="6">
        <v>55543.014001563381</v>
      </c>
      <c r="H10" s="6">
        <v>111086.02800312676</v>
      </c>
      <c r="I10" s="6">
        <f t="shared" si="0"/>
        <v>3493701.7980891126</v>
      </c>
      <c r="J10" s="6">
        <f t="shared" si="1"/>
        <v>3861459.8820984936</v>
      </c>
      <c r="M10" s="5">
        <v>8</v>
      </c>
      <c r="N10" s="6">
        <v>92280</v>
      </c>
      <c r="O10" s="6">
        <v>127670.15625</v>
      </c>
      <c r="P10" s="6">
        <v>16702.68</v>
      </c>
      <c r="Q10" s="6">
        <v>23108.298281249998</v>
      </c>
      <c r="R10" s="6">
        <f t="shared" si="2"/>
        <v>56304218.709666215</v>
      </c>
      <c r="S10" s="6">
        <f t="shared" si="3"/>
        <v>62230978.573841609</v>
      </c>
      <c r="X10" t="s">
        <v>13</v>
      </c>
      <c r="Y10" s="5">
        <v>8</v>
      </c>
      <c r="Z10" s="6">
        <v>17.100000000000001</v>
      </c>
      <c r="AA10" s="6">
        <v>17.100000000000001</v>
      </c>
      <c r="AB10" s="6">
        <v>55543.014001563381</v>
      </c>
      <c r="AC10" s="6">
        <v>111086.02800312676</v>
      </c>
      <c r="AD10" s="6">
        <v>3712.7543019012887</v>
      </c>
      <c r="AE10" s="6">
        <v>4103.5705442066883</v>
      </c>
      <c r="AF10" s="6">
        <v>92280</v>
      </c>
      <c r="AG10" s="6">
        <v>127670.15625</v>
      </c>
      <c r="AH10" s="6">
        <v>16702.68</v>
      </c>
      <c r="AI10" s="6">
        <v>23108.298281249998</v>
      </c>
      <c r="AJ10" s="6">
        <v>59834.451338646351</v>
      </c>
      <c r="AK10" s="6">
        <v>66132.814637451229</v>
      </c>
      <c r="AN10" s="5">
        <v>8</v>
      </c>
      <c r="AO10" s="46">
        <v>17.100000000000001</v>
      </c>
      <c r="AP10" s="46">
        <v>17.100000000000001</v>
      </c>
      <c r="AQ10" s="46">
        <v>55543.014001563381</v>
      </c>
      <c r="AR10" s="46">
        <v>111086.02800312676</v>
      </c>
      <c r="AS10" s="6">
        <v>92280</v>
      </c>
      <c r="AT10" s="6">
        <v>127670.15625</v>
      </c>
      <c r="AU10" s="6">
        <v>59834.451338646351</v>
      </c>
      <c r="AV10" s="6">
        <v>66132.814637451229</v>
      </c>
    </row>
    <row r="11" spans="1:48" x14ac:dyDescent="0.3">
      <c r="D11" s="37" t="s">
        <v>16</v>
      </c>
      <c r="E11" s="5">
        <v>9</v>
      </c>
      <c r="F11" s="6">
        <v>8.3000000000000007</v>
      </c>
      <c r="G11" s="6">
        <v>26959.47463233778</v>
      </c>
      <c r="H11" s="6">
        <v>53918.949264675561</v>
      </c>
      <c r="I11" s="6">
        <f t="shared" si="0"/>
        <v>1536880.0540432534</v>
      </c>
      <c r="J11" s="6">
        <f t="shared" si="1"/>
        <v>1698656.9018372805</v>
      </c>
      <c r="M11" s="5">
        <v>9</v>
      </c>
      <c r="N11" s="6">
        <v>49601.678571428558</v>
      </c>
      <c r="O11" s="6">
        <v>50470</v>
      </c>
      <c r="P11" s="6">
        <v>8977.9038214285683</v>
      </c>
      <c r="Q11" s="6">
        <v>9135.07</v>
      </c>
      <c r="R11" s="6">
        <f t="shared" si="2"/>
        <v>25616975.104690935</v>
      </c>
      <c r="S11" s="6">
        <f t="shared" si="3"/>
        <v>28313498.799921561</v>
      </c>
      <c r="X11" t="s">
        <v>16</v>
      </c>
      <c r="Y11" s="5">
        <v>9</v>
      </c>
      <c r="Z11" s="6">
        <v>8.3000000000000007</v>
      </c>
      <c r="AA11" s="6">
        <v>8.3000000000000007</v>
      </c>
      <c r="AB11" s="6">
        <v>26959.47463233778</v>
      </c>
      <c r="AC11" s="6">
        <v>53918.949264675561</v>
      </c>
      <c r="AD11" s="6">
        <v>1633.2412901628622</v>
      </c>
      <c r="AE11" s="6">
        <v>1805.1614259694798</v>
      </c>
      <c r="AF11" s="6">
        <v>49601.678571428558</v>
      </c>
      <c r="AG11" s="6">
        <v>50470</v>
      </c>
      <c r="AH11" s="6">
        <v>8977.9038214285683</v>
      </c>
      <c r="AI11" s="6">
        <v>9135.07</v>
      </c>
      <c r="AJ11" s="6">
        <v>27223.140387556785</v>
      </c>
      <c r="AK11" s="6">
        <v>30088.734112562764</v>
      </c>
      <c r="AN11" s="5">
        <v>9</v>
      </c>
      <c r="AO11" s="46">
        <v>8.3000000000000007</v>
      </c>
      <c r="AP11" s="46">
        <v>8.3000000000000007</v>
      </c>
      <c r="AQ11" s="46">
        <v>26959.47463233778</v>
      </c>
      <c r="AR11" s="46">
        <v>53918.949264675561</v>
      </c>
      <c r="AS11" s="6">
        <v>49601.678571428558</v>
      </c>
      <c r="AT11" s="6">
        <v>50470</v>
      </c>
      <c r="AU11" s="6">
        <v>27223.140387556785</v>
      </c>
      <c r="AV11" s="6">
        <v>30088.734112562764</v>
      </c>
    </row>
    <row r="12" spans="1:48" x14ac:dyDescent="0.3">
      <c r="D12" s="37" t="s">
        <v>13</v>
      </c>
      <c r="E12" s="5">
        <v>10</v>
      </c>
      <c r="F12" s="6">
        <v>7.2</v>
      </c>
      <c r="G12" s="6">
        <v>23386.532211184582</v>
      </c>
      <c r="H12" s="6">
        <v>46773.064422369163</v>
      </c>
      <c r="I12" s="6">
        <f t="shared" si="0"/>
        <v>1660782.336037521</v>
      </c>
      <c r="J12" s="6">
        <f t="shared" si="1"/>
        <v>1835601.5293046285</v>
      </c>
      <c r="M12" s="5">
        <v>10</v>
      </c>
      <c r="N12" s="6">
        <v>7800</v>
      </c>
      <c r="O12" s="6">
        <v>11330.093749999998</v>
      </c>
      <c r="P12" s="6">
        <v>1411.8</v>
      </c>
      <c r="Q12" s="6">
        <v>2050.7469687499997</v>
      </c>
      <c r="R12" s="6">
        <f t="shared" si="2"/>
        <v>4897041.2242497262</v>
      </c>
      <c r="S12" s="6">
        <f t="shared" si="3"/>
        <v>5412519.2478549611</v>
      </c>
      <c r="X12" t="s">
        <v>13</v>
      </c>
      <c r="Y12" s="5">
        <v>10</v>
      </c>
      <c r="Z12" s="6">
        <v>7.2</v>
      </c>
      <c r="AA12" s="6">
        <v>7.2</v>
      </c>
      <c r="AB12" s="6">
        <v>23386.532211184582</v>
      </c>
      <c r="AC12" s="6">
        <v>46773.064422369163</v>
      </c>
      <c r="AD12" s="6">
        <v>1764.9121530685663</v>
      </c>
      <c r="AE12" s="6">
        <v>1950.692379707363</v>
      </c>
      <c r="AF12" s="6">
        <v>7800</v>
      </c>
      <c r="AG12" s="6">
        <v>11330.093749999998</v>
      </c>
      <c r="AH12" s="6">
        <v>1411.8</v>
      </c>
      <c r="AI12" s="6">
        <v>2050.7469687499997</v>
      </c>
      <c r="AJ12" s="6">
        <v>5204.0820661527378</v>
      </c>
      <c r="AK12" s="6">
        <v>5751.8801783793424</v>
      </c>
      <c r="AN12" s="5">
        <v>10</v>
      </c>
      <c r="AO12" s="46">
        <v>7.2</v>
      </c>
      <c r="AP12" s="46">
        <v>7.2</v>
      </c>
      <c r="AQ12" s="46">
        <v>23386.532211184582</v>
      </c>
      <c r="AR12" s="46">
        <v>46773.064422369163</v>
      </c>
      <c r="AS12" s="6">
        <v>7800</v>
      </c>
      <c r="AT12" s="6">
        <v>11330.093749999998</v>
      </c>
      <c r="AU12" s="6">
        <v>5204.0820661527378</v>
      </c>
      <c r="AV12" s="6">
        <v>5751.8801783793424</v>
      </c>
    </row>
    <row r="13" spans="1:48" x14ac:dyDescent="0.3">
      <c r="D13" s="37" t="s">
        <v>14</v>
      </c>
      <c r="E13" s="5">
        <v>11</v>
      </c>
      <c r="F13" s="6">
        <v>14.7</v>
      </c>
      <c r="G13" s="6">
        <v>47747.503264501844</v>
      </c>
      <c r="H13" s="6">
        <v>95495.006529003687</v>
      </c>
      <c r="I13" s="6">
        <f t="shared" si="0"/>
        <v>2721797.6860766052</v>
      </c>
      <c r="J13" s="6">
        <f t="shared" si="1"/>
        <v>3008302.7056636163</v>
      </c>
      <c r="M13" s="5">
        <v>11</v>
      </c>
      <c r="N13" s="6">
        <v>18500</v>
      </c>
      <c r="O13" s="6">
        <v>36798</v>
      </c>
      <c r="P13" s="6">
        <v>3348.5</v>
      </c>
      <c r="Q13" s="6">
        <v>6660.4380000000001</v>
      </c>
      <c r="R13" s="6">
        <f t="shared" si="2"/>
        <v>14155528.4128475</v>
      </c>
      <c r="S13" s="6">
        <f t="shared" si="3"/>
        <v>15645584.0352525</v>
      </c>
      <c r="X13" t="s">
        <v>14</v>
      </c>
      <c r="Y13" s="5">
        <v>11</v>
      </c>
      <c r="Z13" s="6">
        <v>14.7</v>
      </c>
      <c r="AA13" s="6">
        <v>14.7</v>
      </c>
      <c r="AB13" s="6">
        <v>47747.503264501844</v>
      </c>
      <c r="AC13" s="6">
        <v>95495.006529003687</v>
      </c>
      <c r="AD13" s="6">
        <v>2892.452376276945</v>
      </c>
      <c r="AE13" s="6">
        <v>3196.9210474639917</v>
      </c>
      <c r="AF13" s="6">
        <v>18500</v>
      </c>
      <c r="AG13" s="6">
        <v>36798</v>
      </c>
      <c r="AH13" s="6">
        <v>3348.5</v>
      </c>
      <c r="AI13" s="6">
        <v>6660.4380000000001</v>
      </c>
      <c r="AJ13" s="6">
        <v>15043.069514184379</v>
      </c>
      <c r="AK13" s="6">
        <v>16626.550515677471</v>
      </c>
      <c r="AN13" s="5">
        <v>11</v>
      </c>
      <c r="AO13" s="46">
        <v>14.7</v>
      </c>
      <c r="AP13" s="46">
        <v>14.7</v>
      </c>
      <c r="AQ13" s="46">
        <v>47747.503264501844</v>
      </c>
      <c r="AR13" s="46">
        <v>95495.006529003687</v>
      </c>
      <c r="AS13" s="6">
        <v>18500</v>
      </c>
      <c r="AT13" s="6">
        <v>36798</v>
      </c>
      <c r="AU13" s="6">
        <v>15043.069514184379</v>
      </c>
      <c r="AV13" s="6">
        <v>16626.550515677471</v>
      </c>
    </row>
    <row r="14" spans="1:48" x14ac:dyDescent="0.3">
      <c r="D14" s="37" t="s">
        <v>20</v>
      </c>
      <c r="E14" s="5">
        <v>12</v>
      </c>
      <c r="F14" s="6">
        <v>5.7</v>
      </c>
      <c r="G14" s="6">
        <v>18514.338000521126</v>
      </c>
      <c r="H14" s="6">
        <v>37028.676001042251</v>
      </c>
      <c r="I14" s="6">
        <f t="shared" si="0"/>
        <v>1055507.2660297041</v>
      </c>
      <c r="J14" s="6">
        <f t="shared" si="1"/>
        <v>1166613.294032831</v>
      </c>
      <c r="M14" s="5">
        <v>12</v>
      </c>
      <c r="N14" s="6">
        <v>335</v>
      </c>
      <c r="O14" s="6">
        <v>406</v>
      </c>
      <c r="P14" s="6">
        <v>60.634999999999998</v>
      </c>
      <c r="Q14" s="6">
        <v>73.486000000000004</v>
      </c>
      <c r="R14" s="6">
        <f t="shared" si="2"/>
        <v>189685.82143875002</v>
      </c>
      <c r="S14" s="6">
        <f t="shared" si="3"/>
        <v>209652.75001125003</v>
      </c>
      <c r="X14" t="s">
        <v>20</v>
      </c>
      <c r="Y14" s="5">
        <v>12</v>
      </c>
      <c r="Z14" s="6">
        <v>5.7</v>
      </c>
      <c r="AA14" s="6">
        <v>5.7</v>
      </c>
      <c r="AB14" s="6">
        <v>18514.338000521126</v>
      </c>
      <c r="AC14" s="6">
        <v>37028.676001042251</v>
      </c>
      <c r="AD14" s="6">
        <v>1121.6867864290161</v>
      </c>
      <c r="AE14" s="6">
        <v>1239.7590797373336</v>
      </c>
      <c r="AF14" s="6">
        <v>335</v>
      </c>
      <c r="AG14" s="6">
        <v>406</v>
      </c>
      <c r="AH14" s="6">
        <v>60.634999999999998</v>
      </c>
      <c r="AI14" s="6">
        <v>73.486000000000004</v>
      </c>
      <c r="AJ14" s="6">
        <v>201.5789813376727</v>
      </c>
      <c r="AK14" s="6">
        <v>222.79782147848036</v>
      </c>
      <c r="AN14" s="5">
        <v>12</v>
      </c>
      <c r="AO14" s="46">
        <v>5.7</v>
      </c>
      <c r="AP14" s="46">
        <v>5.7</v>
      </c>
      <c r="AQ14" s="46">
        <v>18514.338000521126</v>
      </c>
      <c r="AR14" s="46">
        <v>37028.676001042251</v>
      </c>
      <c r="AS14" s="6">
        <v>335</v>
      </c>
      <c r="AT14" s="6">
        <v>406</v>
      </c>
      <c r="AU14" s="6">
        <v>201.5789813376727</v>
      </c>
      <c r="AV14" s="6">
        <v>222.79782147848036</v>
      </c>
    </row>
    <row r="15" spans="1:48" x14ac:dyDescent="0.3">
      <c r="D15" s="37" t="s">
        <v>13</v>
      </c>
      <c r="E15" s="5">
        <v>13</v>
      </c>
      <c r="F15" s="6">
        <v>10.5</v>
      </c>
      <c r="G15" s="6">
        <v>34105.359474644181</v>
      </c>
      <c r="H15" s="6">
        <v>68210.718949288363</v>
      </c>
      <c r="I15" s="6">
        <f t="shared" si="0"/>
        <v>2271755.4900547182</v>
      </c>
      <c r="J15" s="6">
        <f t="shared" si="1"/>
        <v>2510887.6469025835</v>
      </c>
      <c r="M15" s="5">
        <v>13</v>
      </c>
      <c r="N15" s="6">
        <v>24960</v>
      </c>
      <c r="O15" s="6">
        <v>39153.078125</v>
      </c>
      <c r="P15" s="6">
        <v>4517.76</v>
      </c>
      <c r="Q15" s="6">
        <v>7086.7071406249997</v>
      </c>
      <c r="R15" s="6">
        <f t="shared" si="2"/>
        <v>16412067.326730607</v>
      </c>
      <c r="S15" s="6">
        <f t="shared" si="3"/>
        <v>18139653.361123305</v>
      </c>
      <c r="X15" t="s">
        <v>13</v>
      </c>
      <c r="Y15" s="5">
        <v>13</v>
      </c>
      <c r="Z15" s="6">
        <v>10.5</v>
      </c>
      <c r="AA15" s="6">
        <v>10.5</v>
      </c>
      <c r="AB15" s="6">
        <v>34105.359474644181</v>
      </c>
      <c r="AC15" s="6">
        <v>68210.718949288363</v>
      </c>
      <c r="AD15" s="6">
        <v>2414.1928693461405</v>
      </c>
      <c r="AE15" s="6">
        <v>2668.3184345404716</v>
      </c>
      <c r="AF15" s="6">
        <v>24960</v>
      </c>
      <c r="AG15" s="6">
        <v>39153.078125</v>
      </c>
      <c r="AH15" s="6">
        <v>4517.76</v>
      </c>
      <c r="AI15" s="6">
        <v>7086.7071406249997</v>
      </c>
      <c r="AJ15" s="6">
        <v>17441.0917393524</v>
      </c>
      <c r="AK15" s="6">
        <v>19276.996132968445</v>
      </c>
      <c r="AN15" s="5">
        <v>13</v>
      </c>
      <c r="AO15" s="46">
        <v>10.5</v>
      </c>
      <c r="AP15" s="46">
        <v>10.5</v>
      </c>
      <c r="AQ15" s="46">
        <v>34105.359474644181</v>
      </c>
      <c r="AR15" s="46">
        <v>68210.718949288363</v>
      </c>
      <c r="AS15" s="6">
        <v>24960</v>
      </c>
      <c r="AT15" s="6">
        <v>39153.078125</v>
      </c>
      <c r="AU15" s="6">
        <v>17441.0917393524</v>
      </c>
      <c r="AV15" s="6">
        <v>19276.996132968445</v>
      </c>
    </row>
    <row r="16" spans="1:48" x14ac:dyDescent="0.3">
      <c r="D16" s="37" t="s">
        <v>16</v>
      </c>
      <c r="E16" s="5">
        <v>14</v>
      </c>
      <c r="F16" s="6">
        <v>4.8</v>
      </c>
      <c r="G16" s="6">
        <v>15591.021474123052</v>
      </c>
      <c r="H16" s="6">
        <v>31182.042948246104</v>
      </c>
      <c r="I16" s="6">
        <f t="shared" si="0"/>
        <v>888878.22402501386</v>
      </c>
      <c r="J16" s="6">
        <f t="shared" si="1"/>
        <v>982444.35286975233</v>
      </c>
      <c r="M16" s="5">
        <v>14</v>
      </c>
      <c r="N16" s="6">
        <v>18843.75</v>
      </c>
      <c r="O16" s="6">
        <v>23175</v>
      </c>
      <c r="P16" s="6">
        <v>3410.71875</v>
      </c>
      <c r="Q16" s="6">
        <v>4194.6750000000002</v>
      </c>
      <c r="R16" s="6">
        <f t="shared" si="2"/>
        <v>10756222.819945313</v>
      </c>
      <c r="S16" s="6">
        <f t="shared" si="3"/>
        <v>11888456.800992191</v>
      </c>
      <c r="X16" t="s">
        <v>16</v>
      </c>
      <c r="Y16" s="5">
        <v>14</v>
      </c>
      <c r="Z16" s="6">
        <v>4.8</v>
      </c>
      <c r="AA16" s="6">
        <v>4.8</v>
      </c>
      <c r="AB16" s="6">
        <v>15591.021474123052</v>
      </c>
      <c r="AC16" s="6">
        <v>31182.042948246104</v>
      </c>
      <c r="AD16" s="6">
        <v>944.61022744422303</v>
      </c>
      <c r="AE16" s="6">
        <v>1044.0428829646678</v>
      </c>
      <c r="AF16" s="6">
        <v>18843.75</v>
      </c>
      <c r="AG16" s="6">
        <v>23175</v>
      </c>
      <c r="AH16" s="6">
        <v>3410.71875</v>
      </c>
      <c r="AI16" s="6">
        <v>4194.6750000000002</v>
      </c>
      <c r="AJ16" s="6">
        <v>11430.629989314892</v>
      </c>
      <c r="AK16" s="6">
        <v>12633.854198716463</v>
      </c>
      <c r="AN16" s="5">
        <v>14</v>
      </c>
      <c r="AO16" s="46">
        <v>4.8</v>
      </c>
      <c r="AP16" s="46">
        <v>4.8</v>
      </c>
      <c r="AQ16" s="46">
        <v>15591.021474123052</v>
      </c>
      <c r="AR16" s="46">
        <v>31182.042948246104</v>
      </c>
      <c r="AS16" s="6">
        <v>18843.75</v>
      </c>
      <c r="AT16" s="6">
        <v>23175</v>
      </c>
      <c r="AU16" s="6">
        <v>11430.629989314892</v>
      </c>
      <c r="AV16" s="6">
        <v>12633.854198716463</v>
      </c>
    </row>
    <row r="17" spans="4:48" x14ac:dyDescent="0.3">
      <c r="D17" s="38" t="s">
        <v>14</v>
      </c>
      <c r="E17" s="5">
        <v>15</v>
      </c>
      <c r="F17" s="24">
        <v>24.015000000000001</v>
      </c>
      <c r="G17" s="6">
        <v>81935.284643337043</v>
      </c>
      <c r="H17" s="6">
        <v>163870.56928667409</v>
      </c>
      <c r="I17" s="6">
        <f t="shared" si="0"/>
        <v>4670501.2246702109</v>
      </c>
      <c r="J17" s="6">
        <f t="shared" si="1"/>
        <v>5162132.9325302336</v>
      </c>
      <c r="M17" s="5">
        <v>15</v>
      </c>
      <c r="N17" s="6">
        <v>87442</v>
      </c>
      <c r="O17" s="6">
        <v>88418.863636363618</v>
      </c>
      <c r="P17" s="6">
        <v>15827.001999999999</v>
      </c>
      <c r="Q17" s="6">
        <v>16003.814318181814</v>
      </c>
      <c r="R17" s="6">
        <f t="shared" si="2"/>
        <v>45017965.422120951</v>
      </c>
      <c r="S17" s="6">
        <f t="shared" si="3"/>
        <v>49756698.624449484</v>
      </c>
      <c r="X17" t="s">
        <v>14</v>
      </c>
      <c r="Y17" s="5">
        <v>15</v>
      </c>
      <c r="Z17" s="6">
        <v>24.015000000000001</v>
      </c>
      <c r="AA17" s="6">
        <v>24.015000000000001</v>
      </c>
      <c r="AB17" s="6">
        <v>81935.284643337043</v>
      </c>
      <c r="AC17" s="6">
        <v>163870.56928667409</v>
      </c>
      <c r="AD17" s="6">
        <v>4963.3381771203094</v>
      </c>
      <c r="AE17" s="6">
        <v>5485.7948273435004</v>
      </c>
      <c r="AF17" s="6">
        <v>87442</v>
      </c>
      <c r="AG17" s="6">
        <v>88418.863636363618</v>
      </c>
      <c r="AH17" s="6">
        <v>15827.001999999999</v>
      </c>
      <c r="AI17" s="6">
        <v>16003.814318181814</v>
      </c>
      <c r="AJ17" s="6">
        <v>47840.558365697078</v>
      </c>
      <c r="AK17" s="6">
        <v>52876.406614717838</v>
      </c>
      <c r="AN17" s="5">
        <v>15</v>
      </c>
      <c r="AO17" s="46">
        <v>24.015000000000001</v>
      </c>
      <c r="AP17" s="46">
        <v>24.015000000000001</v>
      </c>
      <c r="AQ17" s="46">
        <v>81935.284643337043</v>
      </c>
      <c r="AR17" s="46">
        <v>163870.56928667409</v>
      </c>
      <c r="AS17" s="6">
        <v>87442</v>
      </c>
      <c r="AT17" s="6">
        <v>88418.863636363618</v>
      </c>
      <c r="AU17" s="6">
        <v>47840.558365697078</v>
      </c>
      <c r="AV17" s="6">
        <v>52876.406614717838</v>
      </c>
    </row>
    <row r="18" spans="4:48" x14ac:dyDescent="0.3">
      <c r="D18" s="38" t="s">
        <v>20</v>
      </c>
      <c r="E18" s="5">
        <v>16</v>
      </c>
      <c r="F18" s="24">
        <v>10.2875</v>
      </c>
      <c r="G18" s="6">
        <v>35099.281314525499</v>
      </c>
      <c r="H18" s="6">
        <v>70198.562629050997</v>
      </c>
      <c r="I18" s="6">
        <f t="shared" si="0"/>
        <v>2000849.0349279537</v>
      </c>
      <c r="J18" s="6">
        <f t="shared" si="1"/>
        <v>2211464.7228151071</v>
      </c>
      <c r="M18" s="5">
        <v>16</v>
      </c>
      <c r="N18" s="6">
        <v>23096</v>
      </c>
      <c r="O18" s="6">
        <v>23956.707000000002</v>
      </c>
      <c r="P18" s="6">
        <v>4180.3760000000002</v>
      </c>
      <c r="Q18" s="6">
        <v>4336.1639670000004</v>
      </c>
      <c r="R18" s="6">
        <f t="shared" si="2"/>
        <v>12044846.664253473</v>
      </c>
      <c r="S18" s="6">
        <f t="shared" si="3"/>
        <v>13312725.260490682</v>
      </c>
      <c r="X18" t="s">
        <v>20</v>
      </c>
      <c r="Y18" s="5">
        <v>16</v>
      </c>
      <c r="Z18" s="6">
        <v>10.2875</v>
      </c>
      <c r="AA18" s="6">
        <v>10.2875</v>
      </c>
      <c r="AB18" s="6">
        <v>35099.281314525499</v>
      </c>
      <c r="AC18" s="6">
        <v>70198.562629050997</v>
      </c>
      <c r="AD18" s="6">
        <v>2126.3007810073896</v>
      </c>
      <c r="AE18" s="6">
        <v>2350.1219158502731</v>
      </c>
      <c r="AF18" s="6">
        <v>23096</v>
      </c>
      <c r="AG18" s="6">
        <v>23956.707000000002</v>
      </c>
      <c r="AH18" s="6">
        <v>4180.3760000000002</v>
      </c>
      <c r="AI18" s="6">
        <v>4336.1639670000004</v>
      </c>
      <c r="AJ18" s="6">
        <v>12800.049590067452</v>
      </c>
      <c r="AK18" s="6">
        <v>14147.423231127186</v>
      </c>
      <c r="AN18" s="5">
        <v>16</v>
      </c>
      <c r="AO18" s="46">
        <v>10.2875</v>
      </c>
      <c r="AP18" s="46">
        <v>10.2875</v>
      </c>
      <c r="AQ18" s="46">
        <v>35099.281314525499</v>
      </c>
      <c r="AR18" s="46">
        <v>70198.562629050997</v>
      </c>
      <c r="AS18" s="6">
        <v>23096</v>
      </c>
      <c r="AT18" s="6">
        <v>23956.707000000002</v>
      </c>
      <c r="AU18" s="6">
        <v>12800.049590067452</v>
      </c>
      <c r="AV18" s="6">
        <v>14147.423231127186</v>
      </c>
    </row>
    <row r="19" spans="4:48" x14ac:dyDescent="0.3">
      <c r="D19" s="38" t="s">
        <v>14</v>
      </c>
      <c r="E19" s="5">
        <v>17</v>
      </c>
      <c r="F19" s="24">
        <v>19.196642685851319</v>
      </c>
      <c r="G19" s="6">
        <v>65495.831049829772</v>
      </c>
      <c r="H19" s="6">
        <v>130991.66209965954</v>
      </c>
      <c r="I19" s="6">
        <f t="shared" si="0"/>
        <v>3733452.3698402965</v>
      </c>
      <c r="J19" s="6">
        <f t="shared" si="1"/>
        <v>4126447.3561392757</v>
      </c>
      <c r="M19" s="5">
        <v>17</v>
      </c>
      <c r="N19" s="6">
        <v>79310</v>
      </c>
      <c r="O19" s="6">
        <v>87431</v>
      </c>
      <c r="P19" s="6">
        <v>14355.109999999999</v>
      </c>
      <c r="Q19" s="6">
        <v>15825.010999999999</v>
      </c>
      <c r="R19" s="6">
        <f t="shared" si="2"/>
        <v>42683405.603938743</v>
      </c>
      <c r="S19" s="6">
        <f t="shared" si="3"/>
        <v>47176395.667511255</v>
      </c>
      <c r="X19" t="s">
        <v>14</v>
      </c>
      <c r="Y19" s="5">
        <v>17</v>
      </c>
      <c r="Z19" s="6">
        <v>19.196642685851319</v>
      </c>
      <c r="AA19" s="6">
        <v>19.196642685851319</v>
      </c>
      <c r="AB19" s="6">
        <v>65495.831049829772</v>
      </c>
      <c r="AC19" s="6">
        <v>130991.66209965954</v>
      </c>
      <c r="AD19" s="6">
        <v>3967.5370561533437</v>
      </c>
      <c r="AE19" s="6">
        <v>4385.1725357484329</v>
      </c>
      <c r="AF19" s="6">
        <v>79310</v>
      </c>
      <c r="AG19" s="6">
        <v>87431</v>
      </c>
      <c r="AH19" s="6">
        <v>14355.109999999999</v>
      </c>
      <c r="AI19" s="6">
        <v>15825.010999999999</v>
      </c>
      <c r="AJ19" s="6">
        <v>45359.623383569335</v>
      </c>
      <c r="AK19" s="6">
        <v>50134.320581839806</v>
      </c>
      <c r="AN19" s="5">
        <v>17</v>
      </c>
      <c r="AO19" s="46">
        <v>19.196642685851319</v>
      </c>
      <c r="AP19" s="46">
        <v>19.196642685851319</v>
      </c>
      <c r="AQ19" s="46">
        <v>65495.831049829772</v>
      </c>
      <c r="AR19" s="46">
        <v>130991.66209965954</v>
      </c>
      <c r="AS19" s="6">
        <v>79310</v>
      </c>
      <c r="AT19" s="6">
        <v>87431</v>
      </c>
      <c r="AU19" s="6">
        <v>45359.623383569335</v>
      </c>
      <c r="AV19" s="6">
        <v>50134.320581839806</v>
      </c>
    </row>
    <row r="20" spans="4:48" x14ac:dyDescent="0.3">
      <c r="D20" s="38" t="s">
        <v>14</v>
      </c>
      <c r="E20" s="5">
        <v>18</v>
      </c>
      <c r="F20" s="24">
        <v>13.385</v>
      </c>
      <c r="G20" s="6">
        <v>45667.448884075209</v>
      </c>
      <c r="H20" s="6">
        <v>91334.897768150418</v>
      </c>
      <c r="I20" s="6">
        <f t="shared" si="0"/>
        <v>2603234.5863922867</v>
      </c>
      <c r="J20" s="6">
        <f t="shared" si="1"/>
        <v>2877259.2796967379</v>
      </c>
      <c r="M20" s="5">
        <v>18</v>
      </c>
      <c r="N20" s="6">
        <v>5987</v>
      </c>
      <c r="O20" s="6">
        <v>6048.7499999999991</v>
      </c>
      <c r="P20" s="6">
        <v>1083.6469999999999</v>
      </c>
      <c r="Q20" s="6">
        <v>1094.8237499999998</v>
      </c>
      <c r="R20" s="6">
        <f t="shared" si="2"/>
        <v>3080986.6739290617</v>
      </c>
      <c r="S20" s="6">
        <f t="shared" si="3"/>
        <v>3405301.0606584372</v>
      </c>
      <c r="X20" t="s">
        <v>14</v>
      </c>
      <c r="Y20" s="5">
        <v>18</v>
      </c>
      <c r="Z20" s="6">
        <v>13.385</v>
      </c>
      <c r="AA20" s="6">
        <v>13.385</v>
      </c>
      <c r="AB20" s="6">
        <v>45667.448884075209</v>
      </c>
      <c r="AC20" s="6">
        <v>91334.897768150418</v>
      </c>
      <c r="AD20" s="6">
        <v>2766.4554584402622</v>
      </c>
      <c r="AE20" s="6">
        <v>3057.6612961708161</v>
      </c>
      <c r="AF20" s="6">
        <v>5987</v>
      </c>
      <c r="AG20" s="6">
        <v>6048.7499999999991</v>
      </c>
      <c r="AH20" s="6">
        <v>1083.6469999999999</v>
      </c>
      <c r="AI20" s="6">
        <v>1094.8237499999998</v>
      </c>
      <c r="AJ20" s="6">
        <v>3274.1622464708412</v>
      </c>
      <c r="AK20" s="6">
        <v>3618.8109039940882</v>
      </c>
      <c r="AN20" s="5">
        <v>18</v>
      </c>
      <c r="AO20" s="46">
        <v>13.385</v>
      </c>
      <c r="AP20" s="46">
        <v>13.385</v>
      </c>
      <c r="AQ20" s="46">
        <v>45667.448884075209</v>
      </c>
      <c r="AR20" s="46">
        <v>91334.897768150418</v>
      </c>
      <c r="AS20" s="6">
        <v>5987</v>
      </c>
      <c r="AT20" s="6">
        <v>6048.7499999999991</v>
      </c>
      <c r="AU20" s="6">
        <v>3274.1622464708412</v>
      </c>
      <c r="AV20" s="6">
        <v>3618.8109039940882</v>
      </c>
    </row>
    <row r="21" spans="4:48" x14ac:dyDescent="0.3">
      <c r="D21" s="38" t="s">
        <v>22</v>
      </c>
      <c r="E21" s="5">
        <v>19</v>
      </c>
      <c r="F21" s="24">
        <v>8.2254196642685855</v>
      </c>
      <c r="G21" s="6">
        <v>28063.797689058851</v>
      </c>
      <c r="H21" s="6">
        <v>56127.595378117701</v>
      </c>
      <c r="I21" s="6">
        <f t="shared" si="0"/>
        <v>1599826.4682763545</v>
      </c>
      <c r="J21" s="6">
        <f t="shared" si="1"/>
        <v>1768229.2544107079</v>
      </c>
      <c r="M21" s="5">
        <v>19</v>
      </c>
      <c r="N21" s="6">
        <v>897</v>
      </c>
      <c r="O21" s="6">
        <v>1006</v>
      </c>
      <c r="P21" s="6">
        <v>162.357</v>
      </c>
      <c r="Q21" s="6">
        <v>182.08599999999998</v>
      </c>
      <c r="R21" s="6">
        <f t="shared" si="2"/>
        <v>487141.85991624993</v>
      </c>
      <c r="S21" s="6">
        <f t="shared" si="3"/>
        <v>538419.95043374994</v>
      </c>
      <c r="X21" t="s">
        <v>22</v>
      </c>
      <c r="Y21" s="5">
        <v>19</v>
      </c>
      <c r="Z21" s="6">
        <v>8.2254196642685855</v>
      </c>
      <c r="AA21" s="6">
        <v>8.2254196642685855</v>
      </c>
      <c r="AB21" s="6">
        <v>28063.797689058851</v>
      </c>
      <c r="AC21" s="6">
        <v>56127.595378117701</v>
      </c>
      <c r="AD21" s="6">
        <v>1700.1343977432034</v>
      </c>
      <c r="AE21" s="6">
        <v>1879.09591329512</v>
      </c>
      <c r="AF21" s="6">
        <v>897</v>
      </c>
      <c r="AG21" s="6">
        <v>1006</v>
      </c>
      <c r="AH21" s="6">
        <v>162.357</v>
      </c>
      <c r="AI21" s="6">
        <v>182.08599999999998</v>
      </c>
      <c r="AJ21" s="6">
        <v>517.68529215329431</v>
      </c>
      <c r="AK21" s="6">
        <v>572.17848080100953</v>
      </c>
      <c r="AN21" s="5">
        <v>19</v>
      </c>
      <c r="AO21" s="46">
        <v>8.2254196642685855</v>
      </c>
      <c r="AP21" s="46">
        <v>8.2254196642685855</v>
      </c>
      <c r="AQ21" s="46">
        <v>28063.797689058851</v>
      </c>
      <c r="AR21" s="46">
        <v>56127.595378117701</v>
      </c>
      <c r="AS21" s="6">
        <v>897</v>
      </c>
      <c r="AT21" s="6">
        <v>1006</v>
      </c>
      <c r="AU21" s="6">
        <v>517.68529215329431</v>
      </c>
      <c r="AV21" s="6">
        <v>572.17848080100953</v>
      </c>
    </row>
    <row r="22" spans="4:48" x14ac:dyDescent="0.3">
      <c r="D22" s="38" t="s">
        <v>22</v>
      </c>
      <c r="E22" s="5">
        <v>20</v>
      </c>
      <c r="F22" s="24">
        <v>3.5225</v>
      </c>
      <c r="G22" s="6">
        <v>12018.19863236122</v>
      </c>
      <c r="H22" s="6">
        <v>24036.39726472244</v>
      </c>
      <c r="I22" s="6">
        <f t="shared" si="0"/>
        <v>685227.32204458956</v>
      </c>
      <c r="J22" s="6">
        <f t="shared" si="1"/>
        <v>757356.51383875683</v>
      </c>
      <c r="M22" s="5">
        <v>20</v>
      </c>
      <c r="N22" s="6">
        <v>5043</v>
      </c>
      <c r="O22" s="6">
        <v>5974</v>
      </c>
      <c r="P22" s="6">
        <v>912.78300000000002</v>
      </c>
      <c r="Q22" s="6">
        <v>1081.2939999999999</v>
      </c>
      <c r="R22" s="6">
        <f t="shared" si="2"/>
        <v>2820200.6677337498</v>
      </c>
      <c r="S22" s="6">
        <f t="shared" si="3"/>
        <v>3117063.8959162501</v>
      </c>
      <c r="X22" t="s">
        <v>22</v>
      </c>
      <c r="Y22" s="5">
        <v>20</v>
      </c>
      <c r="Z22" s="6">
        <v>3.5225</v>
      </c>
      <c r="AA22" s="6">
        <v>3.5225</v>
      </c>
      <c r="AB22" s="6">
        <v>12018.19863236122</v>
      </c>
      <c r="AC22" s="6">
        <v>24036.39726472244</v>
      </c>
      <c r="AD22" s="6">
        <v>728.19056540338954</v>
      </c>
      <c r="AE22" s="6">
        <v>804.84220386690413</v>
      </c>
      <c r="AF22" s="6">
        <v>5043</v>
      </c>
      <c r="AG22" s="6">
        <v>5974</v>
      </c>
      <c r="AH22" s="6">
        <v>912.78300000000002</v>
      </c>
      <c r="AI22" s="6">
        <v>1081.2939999999999</v>
      </c>
      <c r="AJ22" s="6">
        <v>2997.0251516830499</v>
      </c>
      <c r="AK22" s="6">
        <v>3312.5014834391604</v>
      </c>
      <c r="AN22" s="5">
        <v>20</v>
      </c>
      <c r="AO22" s="46">
        <v>3.5225</v>
      </c>
      <c r="AP22" s="46">
        <v>3.5225</v>
      </c>
      <c r="AQ22" s="46">
        <v>12018.19863236122</v>
      </c>
      <c r="AR22" s="46">
        <v>24036.39726472244</v>
      </c>
      <c r="AS22" s="6">
        <v>5043</v>
      </c>
      <c r="AT22" s="6">
        <v>5974</v>
      </c>
      <c r="AU22" s="6">
        <v>2997.0251516830499</v>
      </c>
      <c r="AV22" s="6">
        <v>3312.5014834391604</v>
      </c>
    </row>
    <row r="23" spans="4:48" x14ac:dyDescent="0.3">
      <c r="D23" s="38" t="s">
        <v>23</v>
      </c>
      <c r="E23" s="5">
        <v>21</v>
      </c>
      <c r="F23" s="24">
        <v>2.2124999999999999</v>
      </c>
      <c r="G23" s="6">
        <v>7548.691121106941</v>
      </c>
      <c r="H23" s="6">
        <v>15097.382242213882</v>
      </c>
      <c r="I23" s="6">
        <f t="shared" si="0"/>
        <v>430465.39390309557</v>
      </c>
      <c r="J23" s="6">
        <f t="shared" si="1"/>
        <v>475777.54062973725</v>
      </c>
      <c r="M23" s="5">
        <v>21</v>
      </c>
      <c r="N23" s="6">
        <v>406</v>
      </c>
      <c r="O23" s="6">
        <v>512</v>
      </c>
      <c r="P23" s="6">
        <v>73.486000000000004</v>
      </c>
      <c r="Q23" s="6">
        <v>92.671999999999997</v>
      </c>
      <c r="R23" s="6">
        <f t="shared" si="2"/>
        <v>234995.39012250002</v>
      </c>
      <c r="S23" s="6">
        <f t="shared" si="3"/>
        <v>259731.74697750004</v>
      </c>
      <c r="X23" t="s">
        <v>23</v>
      </c>
      <c r="Y23" s="5">
        <v>21</v>
      </c>
      <c r="Z23" s="6">
        <v>2.2124999999999999</v>
      </c>
      <c r="AA23" s="6">
        <v>2.2124999999999999</v>
      </c>
      <c r="AB23" s="6">
        <v>7548.691121106941</v>
      </c>
      <c r="AC23" s="6">
        <v>15097.382242213882</v>
      </c>
      <c r="AD23" s="6">
        <v>457.45525388214196</v>
      </c>
      <c r="AE23" s="6">
        <v>505.60843850131482</v>
      </c>
      <c r="AF23" s="6">
        <v>406</v>
      </c>
      <c r="AG23" s="6">
        <v>512</v>
      </c>
      <c r="AH23" s="6">
        <v>73.486000000000004</v>
      </c>
      <c r="AI23" s="6">
        <v>92.671999999999997</v>
      </c>
      <c r="AJ23" s="6">
        <v>249.72942627258237</v>
      </c>
      <c r="AK23" s="6">
        <v>276.01673430127528</v>
      </c>
      <c r="AN23" s="5">
        <v>21</v>
      </c>
      <c r="AO23" s="46">
        <v>2.2124999999999999</v>
      </c>
      <c r="AP23" s="46">
        <v>2.2124999999999999</v>
      </c>
      <c r="AQ23" s="46">
        <v>7548.691121106941</v>
      </c>
      <c r="AR23" s="46">
        <v>15097.382242213882</v>
      </c>
      <c r="AS23" s="6">
        <v>406</v>
      </c>
      <c r="AT23" s="6">
        <v>512</v>
      </c>
      <c r="AU23" s="6">
        <v>249.72942627258237</v>
      </c>
      <c r="AV23" s="6">
        <v>276.01673430127528</v>
      </c>
    </row>
    <row r="24" spans="4:48" x14ac:dyDescent="0.3">
      <c r="D24" s="39" t="s">
        <v>13</v>
      </c>
      <c r="E24" s="5">
        <v>22</v>
      </c>
      <c r="F24" s="5">
        <v>5.7225225225225227</v>
      </c>
      <c r="G24" s="6">
        <v>9793.4383305121846</v>
      </c>
      <c r="H24" s="6">
        <v>19586.876661024369</v>
      </c>
      <c r="I24" s="6">
        <f t="shared" si="0"/>
        <v>885975.98483919457</v>
      </c>
      <c r="J24" s="6">
        <f t="shared" si="1"/>
        <v>979236.61482226767</v>
      </c>
      <c r="M24" s="5">
        <v>22</v>
      </c>
      <c r="N24" s="6">
        <v>22937.925599999999</v>
      </c>
      <c r="O24" s="6">
        <v>23600</v>
      </c>
      <c r="P24" s="6">
        <v>4151.7645335999996</v>
      </c>
      <c r="Q24" s="6">
        <v>4271.5999999999995</v>
      </c>
      <c r="R24" s="6">
        <f t="shared" si="2"/>
        <v>11913069.697019475</v>
      </c>
      <c r="S24" s="6">
        <f t="shared" si="3"/>
        <v>13167077.033547843</v>
      </c>
      <c r="X24" t="s">
        <v>13</v>
      </c>
      <c r="Y24" s="5">
        <v>22</v>
      </c>
      <c r="Z24" s="6">
        <v>5.7225225225225227</v>
      </c>
      <c r="AA24" s="6">
        <v>5.7225225225225227</v>
      </c>
      <c r="AB24" s="6">
        <v>9793.4383305121846</v>
      </c>
      <c r="AC24" s="6">
        <v>19586.876661024369</v>
      </c>
      <c r="AD24" s="6">
        <v>941.52602002039805</v>
      </c>
      <c r="AE24" s="6">
        <v>1040.6340221278083</v>
      </c>
      <c r="AF24" s="6">
        <v>22937.925599999999</v>
      </c>
      <c r="AG24" s="6">
        <v>23600</v>
      </c>
      <c r="AH24" s="6">
        <v>4151.7645335999996</v>
      </c>
      <c r="AI24" s="6">
        <v>4271.5999999999995</v>
      </c>
      <c r="AJ24" s="6">
        <v>12660.010305015383</v>
      </c>
      <c r="AK24" s="6">
        <v>13992.642968701215</v>
      </c>
      <c r="AN24" s="5">
        <v>22</v>
      </c>
      <c r="AO24" s="46">
        <v>5.7225225225225227</v>
      </c>
      <c r="AP24" s="46">
        <v>5.7225225225225227</v>
      </c>
      <c r="AQ24" s="46">
        <v>9793.4383305121846</v>
      </c>
      <c r="AR24" s="46">
        <v>19586.876661024369</v>
      </c>
      <c r="AS24" s="6">
        <v>22937.925599999999</v>
      </c>
      <c r="AT24" s="6">
        <v>23600</v>
      </c>
      <c r="AU24" s="6">
        <v>12660.010305015383</v>
      </c>
      <c r="AV24" s="6">
        <v>13992.642968701215</v>
      </c>
    </row>
    <row r="25" spans="4:48" x14ac:dyDescent="0.3">
      <c r="D25" s="39" t="s">
        <v>14</v>
      </c>
      <c r="E25" s="5">
        <v>23</v>
      </c>
      <c r="F25" s="5">
        <v>2.4676258992805757</v>
      </c>
      <c r="G25" s="6">
        <v>4223.0575715980285</v>
      </c>
      <c r="H25" s="6">
        <v>8446.115143196057</v>
      </c>
      <c r="I25" s="6">
        <f t="shared" si="0"/>
        <v>240904.28158108762</v>
      </c>
      <c r="J25" s="6">
        <f t="shared" si="1"/>
        <v>266262.62701067579</v>
      </c>
      <c r="M25" s="5">
        <v>23</v>
      </c>
      <c r="N25" s="6">
        <v>4028.9464285714284</v>
      </c>
      <c r="O25" s="6">
        <v>4084</v>
      </c>
      <c r="P25" s="6">
        <v>729.23930357142854</v>
      </c>
      <c r="Q25" s="6">
        <v>739.20399999999995</v>
      </c>
      <c r="R25" s="6">
        <f t="shared" si="2"/>
        <v>2076802.8442539058</v>
      </c>
      <c r="S25" s="6">
        <f t="shared" si="3"/>
        <v>2295413.6699648434</v>
      </c>
      <c r="X25" t="s">
        <v>14</v>
      </c>
      <c r="Y25" s="5">
        <v>23</v>
      </c>
      <c r="Z25" s="6">
        <v>2.4676258992805757</v>
      </c>
      <c r="AA25" s="6">
        <v>2.4676258992805757</v>
      </c>
      <c r="AB25" s="6">
        <v>4223.0575715980285</v>
      </c>
      <c r="AC25" s="6">
        <v>8446.115143196057</v>
      </c>
      <c r="AD25" s="6">
        <v>256.0088008300612</v>
      </c>
      <c r="AE25" s="6">
        <v>282.95709565427819</v>
      </c>
      <c r="AF25" s="6">
        <v>4028.9464285714284</v>
      </c>
      <c r="AG25" s="6">
        <v>4084</v>
      </c>
      <c r="AH25" s="6">
        <v>729.23930357142854</v>
      </c>
      <c r="AI25" s="6">
        <v>739.20399999999995</v>
      </c>
      <c r="AJ25" s="6">
        <v>2207.0168376768393</v>
      </c>
      <c r="AK25" s="6">
        <v>2439.3343995375594</v>
      </c>
      <c r="AN25" s="5">
        <v>23</v>
      </c>
      <c r="AO25" s="46">
        <v>2.4676258992805757</v>
      </c>
      <c r="AP25" s="46">
        <v>2.4676258992805757</v>
      </c>
      <c r="AQ25" s="46">
        <v>4223.0575715980285</v>
      </c>
      <c r="AR25" s="46">
        <v>8446.115143196057</v>
      </c>
      <c r="AS25" s="6">
        <v>4028.9464285714284</v>
      </c>
      <c r="AT25" s="6">
        <v>4084</v>
      </c>
      <c r="AU25" s="6">
        <v>2207.0168376768393</v>
      </c>
      <c r="AV25" s="6">
        <v>2439.3343995375594</v>
      </c>
    </row>
    <row r="26" spans="4:48" x14ac:dyDescent="0.3">
      <c r="D26" s="40" t="s">
        <v>13</v>
      </c>
      <c r="E26" s="5">
        <v>24</v>
      </c>
      <c r="F26" s="5">
        <v>11.073873873873874</v>
      </c>
      <c r="G26" s="6">
        <v>18951.659943113311</v>
      </c>
      <c r="H26" s="6">
        <v>37903.319886226622</v>
      </c>
      <c r="I26" s="6">
        <f t="shared" si="0"/>
        <v>1407994.6167574588</v>
      </c>
      <c r="J26" s="6">
        <f t="shared" si="1"/>
        <v>1556204.5764161388</v>
      </c>
      <c r="M26" s="5">
        <v>24</v>
      </c>
      <c r="N26" s="6">
        <v>30704.49</v>
      </c>
      <c r="O26" s="6">
        <v>33480</v>
      </c>
      <c r="P26" s="6">
        <v>5557.5126900000005</v>
      </c>
      <c r="Q26" s="6">
        <v>6059.88</v>
      </c>
      <c r="R26" s="6">
        <f t="shared" si="2"/>
        <v>16430347.785799241</v>
      </c>
      <c r="S26" s="6">
        <f t="shared" si="3"/>
        <v>18159858.079041269</v>
      </c>
      <c r="X26" t="s">
        <v>13</v>
      </c>
      <c r="Y26" s="5">
        <v>24</v>
      </c>
      <c r="Z26" s="6">
        <v>11.073873873873874</v>
      </c>
      <c r="AA26" s="6">
        <v>11.073873873873874</v>
      </c>
      <c r="AB26" s="6">
        <v>18951.659943113311</v>
      </c>
      <c r="AC26" s="6">
        <v>37903.319886226622</v>
      </c>
      <c r="AD26" s="6">
        <v>1496.2748318357692</v>
      </c>
      <c r="AE26" s="6">
        <v>1653.7774457132186</v>
      </c>
      <c r="AF26" s="6">
        <v>30704.49</v>
      </c>
      <c r="AG26" s="6">
        <v>33480</v>
      </c>
      <c r="AH26" s="6">
        <v>5557.5126900000005</v>
      </c>
      <c r="AI26" s="6">
        <v>6059.88</v>
      </c>
      <c r="AJ26" s="6">
        <v>17460.518369605994</v>
      </c>
      <c r="AK26" s="6">
        <v>19298.467671669787</v>
      </c>
      <c r="AN26" s="5">
        <v>24</v>
      </c>
      <c r="AO26" s="46">
        <v>11.073873873873874</v>
      </c>
      <c r="AP26" s="46">
        <v>11.073873873873874</v>
      </c>
      <c r="AQ26" s="46">
        <v>18951.659943113311</v>
      </c>
      <c r="AR26" s="46">
        <v>37903.319886226622</v>
      </c>
      <c r="AS26" s="6">
        <v>30704.49</v>
      </c>
      <c r="AT26" s="6">
        <v>33480</v>
      </c>
      <c r="AU26" s="6">
        <v>17460.518369605994</v>
      </c>
      <c r="AV26" s="6">
        <v>19298.467671669787</v>
      </c>
    </row>
    <row r="27" spans="4:48" x14ac:dyDescent="0.3">
      <c r="D27" s="40" t="s">
        <v>14</v>
      </c>
      <c r="E27" s="5">
        <v>25</v>
      </c>
      <c r="F27" s="5">
        <v>5.4652278177458031</v>
      </c>
      <c r="G27" s="6">
        <v>9353.1080715956323</v>
      </c>
      <c r="H27" s="6">
        <v>18706.216143191265</v>
      </c>
      <c r="I27" s="6">
        <f t="shared" si="0"/>
        <v>533317.16008095106</v>
      </c>
      <c r="J27" s="6">
        <f t="shared" si="1"/>
        <v>589455.8085105248</v>
      </c>
      <c r="M27" s="5">
        <v>25</v>
      </c>
      <c r="N27" s="6">
        <v>17584</v>
      </c>
      <c r="O27" s="6">
        <v>18452</v>
      </c>
      <c r="P27" s="6">
        <v>3182.7039999999997</v>
      </c>
      <c r="Q27" s="6">
        <v>3339.8119999999999</v>
      </c>
      <c r="R27" s="6">
        <f t="shared" si="2"/>
        <v>9224721.0004949998</v>
      </c>
      <c r="S27" s="6">
        <f t="shared" si="3"/>
        <v>10195744.263705002</v>
      </c>
      <c r="X27" t="s">
        <v>14</v>
      </c>
      <c r="Y27" s="5">
        <v>25</v>
      </c>
      <c r="Z27" s="6">
        <v>5.4652278177458031</v>
      </c>
      <c r="AA27" s="6">
        <v>5.4652278177458031</v>
      </c>
      <c r="AB27" s="6">
        <v>9353.1080715956323</v>
      </c>
      <c r="AC27" s="6">
        <v>18706.216143191265</v>
      </c>
      <c r="AD27" s="6">
        <v>566.75574928900221</v>
      </c>
      <c r="AE27" s="6">
        <v>626.41424921416024</v>
      </c>
      <c r="AF27" s="6">
        <v>17584</v>
      </c>
      <c r="AG27" s="6">
        <v>18452</v>
      </c>
      <c r="AH27" s="6">
        <v>3182.7039999999997</v>
      </c>
      <c r="AI27" s="6">
        <v>3339.8119999999999</v>
      </c>
      <c r="AJ27" s="6">
        <v>9803.1041450531357</v>
      </c>
      <c r="AK27" s="6">
        <v>10835.009844532415</v>
      </c>
      <c r="AN27" s="5">
        <v>25</v>
      </c>
      <c r="AO27" s="46">
        <v>5.4652278177458031</v>
      </c>
      <c r="AP27" s="46">
        <v>5.4652278177458031</v>
      </c>
      <c r="AQ27" s="46">
        <v>9353.1080715956323</v>
      </c>
      <c r="AR27" s="46">
        <v>18706.216143191265</v>
      </c>
      <c r="AS27" s="6">
        <v>17584</v>
      </c>
      <c r="AT27" s="6">
        <v>18452</v>
      </c>
      <c r="AU27" s="6">
        <v>9803.1041450531357</v>
      </c>
      <c r="AV27" s="6">
        <v>10835.009844532415</v>
      </c>
    </row>
    <row r="28" spans="4:48" x14ac:dyDescent="0.3">
      <c r="D28" s="40" t="s">
        <v>13</v>
      </c>
      <c r="E28" s="5">
        <v>26</v>
      </c>
      <c r="F28" s="5">
        <v>14.992792792792793</v>
      </c>
      <c r="G28" s="6">
        <v>25658.438396785859</v>
      </c>
      <c r="H28" s="6">
        <v>51316.876793571719</v>
      </c>
      <c r="I28" s="6">
        <f t="shared" si="0"/>
        <v>1790280.9886167939</v>
      </c>
      <c r="J28" s="6">
        <f t="shared" si="1"/>
        <v>1978731.6189975091</v>
      </c>
      <c r="M28" s="5">
        <v>26</v>
      </c>
      <c r="N28" s="6">
        <v>18452</v>
      </c>
      <c r="O28" s="6">
        <v>20160</v>
      </c>
      <c r="P28" s="6">
        <v>3339.8119999999999</v>
      </c>
      <c r="Q28" s="6">
        <v>3648.96</v>
      </c>
      <c r="R28" s="6">
        <f t="shared" si="2"/>
        <v>9884141.6159149986</v>
      </c>
      <c r="S28" s="6">
        <f t="shared" si="3"/>
        <v>10924577.575485</v>
      </c>
      <c r="X28" t="s">
        <v>13</v>
      </c>
      <c r="Y28" s="5">
        <v>26</v>
      </c>
      <c r="Z28" s="6">
        <v>14.992792792792793</v>
      </c>
      <c r="AA28" s="6">
        <v>14.992792792792793</v>
      </c>
      <c r="AB28" s="6">
        <v>25658.438396785859</v>
      </c>
      <c r="AC28" s="6">
        <v>51316.876793571719</v>
      </c>
      <c r="AD28" s="6">
        <v>1902.5302748318745</v>
      </c>
      <c r="AE28" s="6">
        <v>2102.7966195510194</v>
      </c>
      <c r="AF28" s="6">
        <v>18452</v>
      </c>
      <c r="AG28" s="6">
        <v>20160</v>
      </c>
      <c r="AH28" s="6">
        <v>3339.8119999999999</v>
      </c>
      <c r="AI28" s="6">
        <v>3648.96</v>
      </c>
      <c r="AJ28" s="6">
        <v>10503.869942523908</v>
      </c>
      <c r="AK28" s="6">
        <v>11609.540462789586</v>
      </c>
      <c r="AN28" s="5">
        <v>26</v>
      </c>
      <c r="AO28" s="46">
        <v>14.992792792792793</v>
      </c>
      <c r="AP28" s="46">
        <v>14.992792792792793</v>
      </c>
      <c r="AQ28" s="46">
        <v>25658.438396785859</v>
      </c>
      <c r="AR28" s="46">
        <v>51316.876793571719</v>
      </c>
      <c r="AS28" s="6">
        <v>18452</v>
      </c>
      <c r="AT28" s="6">
        <v>20160</v>
      </c>
      <c r="AU28" s="6">
        <v>10503.869942523908</v>
      </c>
      <c r="AV28" s="6">
        <v>11609.540462789586</v>
      </c>
    </row>
    <row r="29" spans="4:48" x14ac:dyDescent="0.3">
      <c r="D29" s="40" t="s">
        <v>14</v>
      </c>
      <c r="E29" s="5">
        <v>27</v>
      </c>
      <c r="F29" s="5">
        <v>0.66426858513189446</v>
      </c>
      <c r="G29" s="6">
        <v>1136.8191907994692</v>
      </c>
      <c r="H29" s="6">
        <v>2273.6383815989384</v>
      </c>
      <c r="I29" s="6">
        <f t="shared" si="0"/>
        <v>64988.693875569741</v>
      </c>
      <c r="J29" s="6">
        <f t="shared" si="1"/>
        <v>71829.609020366566</v>
      </c>
      <c r="M29" s="5">
        <v>27</v>
      </c>
      <c r="N29" s="6">
        <v>1560</v>
      </c>
      <c r="O29" s="6">
        <v>1567</v>
      </c>
      <c r="P29" s="6">
        <v>282.36</v>
      </c>
      <c r="Q29" s="6">
        <v>283.62700000000001</v>
      </c>
      <c r="R29" s="6">
        <f t="shared" si="2"/>
        <v>800469.04674625013</v>
      </c>
      <c r="S29" s="6">
        <f t="shared" si="3"/>
        <v>884728.94640375033</v>
      </c>
      <c r="X29" t="s">
        <v>14</v>
      </c>
      <c r="Y29" s="5">
        <v>27</v>
      </c>
      <c r="Z29" s="6">
        <v>0.66426858513189446</v>
      </c>
      <c r="AA29" s="6">
        <v>0.66426858513189446</v>
      </c>
      <c r="AB29" s="6">
        <v>1136.8191907994692</v>
      </c>
      <c r="AC29" s="6">
        <v>2273.6383815989384</v>
      </c>
      <c r="AD29" s="6">
        <v>69.063436637162312</v>
      </c>
      <c r="AE29" s="6">
        <v>76.333272072653102</v>
      </c>
      <c r="AF29" s="6">
        <v>1560</v>
      </c>
      <c r="AG29" s="6">
        <v>1567</v>
      </c>
      <c r="AH29" s="6">
        <v>282.36</v>
      </c>
      <c r="AI29" s="6">
        <v>283.62700000000001</v>
      </c>
      <c r="AJ29" s="6">
        <v>850.65786051673763</v>
      </c>
      <c r="AK29" s="6">
        <v>940.2007932027102</v>
      </c>
      <c r="AN29" s="5">
        <v>27</v>
      </c>
      <c r="AO29" s="46">
        <v>0.66426858513189446</v>
      </c>
      <c r="AP29" s="46">
        <v>0.66426858513189446</v>
      </c>
      <c r="AQ29" s="46">
        <v>1136.8191907994692</v>
      </c>
      <c r="AR29" s="46">
        <v>2273.6383815989384</v>
      </c>
      <c r="AS29" s="6">
        <v>1560</v>
      </c>
      <c r="AT29" s="6">
        <v>1567</v>
      </c>
      <c r="AU29" s="6">
        <v>850.65786051673763</v>
      </c>
      <c r="AV29" s="6">
        <v>940.2007932027102</v>
      </c>
    </row>
    <row r="30" spans="4:48" x14ac:dyDescent="0.3">
      <c r="D30" s="42" t="s">
        <v>20</v>
      </c>
      <c r="E30" s="5">
        <v>28</v>
      </c>
      <c r="F30" s="5">
        <v>5.6091127098321341</v>
      </c>
      <c r="G30" s="6">
        <v>9599.3504955955177</v>
      </c>
      <c r="H30" s="6">
        <v>19198.700991191035</v>
      </c>
      <c r="I30" s="6">
        <f t="shared" si="0"/>
        <v>547352.97824894451</v>
      </c>
      <c r="J30" s="6">
        <f t="shared" si="1"/>
        <v>604969.08122251765</v>
      </c>
      <c r="M30" s="5">
        <v>28</v>
      </c>
      <c r="N30" s="6">
        <v>2719</v>
      </c>
      <c r="O30" s="6">
        <v>2835</v>
      </c>
      <c r="P30" s="6">
        <v>492.13900000000001</v>
      </c>
      <c r="Q30" s="6">
        <v>513.13499999999999</v>
      </c>
      <c r="R30" s="6">
        <f t="shared" si="2"/>
        <v>1421747.7088674998</v>
      </c>
      <c r="S30" s="6">
        <f t="shared" si="3"/>
        <v>1571405.3624325001</v>
      </c>
      <c r="X30" t="s">
        <v>20</v>
      </c>
      <c r="Y30" s="5">
        <v>28</v>
      </c>
      <c r="Z30" s="6">
        <v>5.6091127098321341</v>
      </c>
      <c r="AA30" s="6">
        <v>5.6091127098321341</v>
      </c>
      <c r="AB30" s="6">
        <v>9599.3504955955177</v>
      </c>
      <c r="AC30" s="6">
        <v>19198.700991191035</v>
      </c>
      <c r="AD30" s="6">
        <v>581.67160281503141</v>
      </c>
      <c r="AE30" s="6">
        <v>642.90019258503469</v>
      </c>
      <c r="AF30" s="6">
        <v>2719</v>
      </c>
      <c r="AG30" s="6">
        <v>2835</v>
      </c>
      <c r="AH30" s="6">
        <v>492.13900000000001</v>
      </c>
      <c r="AI30" s="6">
        <v>513.13499999999999</v>
      </c>
      <c r="AJ30" s="6">
        <v>1510.8902325903293</v>
      </c>
      <c r="AK30" s="6">
        <v>1669.9313097051011</v>
      </c>
      <c r="AN30" s="5">
        <v>28</v>
      </c>
      <c r="AO30" s="46">
        <v>5.6091127098321341</v>
      </c>
      <c r="AP30" s="46">
        <v>5.6091127098321341</v>
      </c>
      <c r="AQ30" s="46">
        <v>9599.3504955955177</v>
      </c>
      <c r="AR30" s="46">
        <v>19198.700991191035</v>
      </c>
      <c r="AS30" s="6">
        <v>2719</v>
      </c>
      <c r="AT30" s="6">
        <v>2835</v>
      </c>
      <c r="AU30" s="6">
        <v>1510.8902325903293</v>
      </c>
      <c r="AV30" s="6">
        <v>1669.9313097051011</v>
      </c>
    </row>
    <row r="32" spans="4:48" x14ac:dyDescent="0.3">
      <c r="F32" s="36">
        <f>SUM(F3:F30)</f>
        <v>320.73998655129947</v>
      </c>
      <c r="AC32" t="s">
        <v>53</v>
      </c>
    </row>
    <row r="33" spans="6:38" x14ac:dyDescent="0.3">
      <c r="AC33" s="45">
        <v>941</v>
      </c>
    </row>
    <row r="34" spans="6:38" x14ac:dyDescent="0.3">
      <c r="F34" s="30" t="s">
        <v>35</v>
      </c>
      <c r="J34" s="30" t="s">
        <v>36</v>
      </c>
      <c r="AC34" s="35" t="s">
        <v>44</v>
      </c>
      <c r="AD34" s="35" t="s">
        <v>45</v>
      </c>
      <c r="AE34" s="35" t="s">
        <v>44</v>
      </c>
      <c r="AF34" s="35" t="s">
        <v>45</v>
      </c>
      <c r="AI34" s="30" t="s">
        <v>50</v>
      </c>
      <c r="AJ34" s="30" t="s">
        <v>51</v>
      </c>
      <c r="AK34" s="30" t="s">
        <v>50</v>
      </c>
      <c r="AL34" s="30" t="s">
        <v>51</v>
      </c>
    </row>
    <row r="35" spans="6:38" x14ac:dyDescent="0.3">
      <c r="F35" s="6">
        <v>5684924.8548871456</v>
      </c>
      <c r="G35" s="36">
        <f>AVERAGE(I3:J3)</f>
        <v>5684924.8548871456</v>
      </c>
      <c r="J35" s="6">
        <v>115420353.90001759</v>
      </c>
      <c r="AC35" s="6">
        <v>5400678.6121427882</v>
      </c>
      <c r="AD35" s="6">
        <v>5969171.0976315029</v>
      </c>
      <c r="AE35">
        <f>AC35/$AC$33</f>
        <v>5739.2971436161406</v>
      </c>
      <c r="AF35">
        <f>AD35/$AC$33</f>
        <v>6343.4336850494183</v>
      </c>
      <c r="AI35" s="6">
        <v>109649336.2050167</v>
      </c>
      <c r="AJ35" s="6">
        <v>121191371.59501848</v>
      </c>
      <c r="AK35" s="6">
        <f>AI35/$AC$33</f>
        <v>116524.26801808363</v>
      </c>
      <c r="AL35" s="6">
        <f>AJ35/$AC$33</f>
        <v>128789.98044103982</v>
      </c>
    </row>
    <row r="36" spans="6:38" x14ac:dyDescent="0.3">
      <c r="F36" s="6">
        <v>2202431.7832198814</v>
      </c>
      <c r="G36" s="36">
        <f t="shared" ref="G36:G62" si="4">AVERAGE(I4:J4)</f>
        <v>2202431.7832198814</v>
      </c>
      <c r="J36" s="6">
        <v>11583744.129350001</v>
      </c>
      <c r="AC36" s="6">
        <v>2092310.1940588872</v>
      </c>
      <c r="AD36" s="6">
        <v>2312553.3723808755</v>
      </c>
      <c r="AE36">
        <f t="shared" ref="AE36:AE62" si="5">AC36/$AC$33</f>
        <v>2223.4964867788385</v>
      </c>
      <c r="AF36">
        <f t="shared" ref="AF36:AF62" si="6">AD36/$AC$33</f>
        <v>2457.5487485450326</v>
      </c>
      <c r="AI36" s="6">
        <v>11004556.922882501</v>
      </c>
      <c r="AJ36" s="6">
        <v>12162931.335817501</v>
      </c>
      <c r="AK36" s="6">
        <f t="shared" ref="AK36:AK62" si="7">AI36/$AC$33</f>
        <v>11694.534455773115</v>
      </c>
      <c r="AL36" s="6">
        <f t="shared" ref="AL36:AL62" si="8">AJ36/$AC$33</f>
        <v>12925.538082696601</v>
      </c>
    </row>
    <row r="37" spans="6:38" x14ac:dyDescent="0.3">
      <c r="F37" s="6">
        <v>6620386.1433345284</v>
      </c>
      <c r="G37" s="36">
        <f t="shared" si="4"/>
        <v>6620386.1433345284</v>
      </c>
      <c r="J37" s="6">
        <v>143626078.27260002</v>
      </c>
      <c r="AC37" s="6">
        <v>6289366.8361678021</v>
      </c>
      <c r="AD37" s="6">
        <v>6951405.4505012548</v>
      </c>
      <c r="AE37">
        <f t="shared" si="5"/>
        <v>6683.7054582017026</v>
      </c>
      <c r="AF37">
        <f t="shared" si="6"/>
        <v>7387.2534011703028</v>
      </c>
      <c r="AI37" s="6">
        <v>136444774.35897002</v>
      </c>
      <c r="AJ37" s="6">
        <v>150807382.18623003</v>
      </c>
      <c r="AK37" s="6">
        <f t="shared" si="7"/>
        <v>144999.76021144527</v>
      </c>
      <c r="AL37" s="6">
        <f t="shared" si="8"/>
        <v>160262.89286528164</v>
      </c>
    </row>
    <row r="38" spans="6:38" x14ac:dyDescent="0.3">
      <c r="F38" s="6">
        <v>1598279.7010976127</v>
      </c>
      <c r="G38" s="36">
        <f t="shared" si="4"/>
        <v>1598279.7010976127</v>
      </c>
      <c r="J38" s="6">
        <v>2703758.675421875</v>
      </c>
      <c r="AC38" s="6">
        <v>1518365.7160427321</v>
      </c>
      <c r="AD38" s="6">
        <v>1678193.6861524933</v>
      </c>
      <c r="AE38">
        <f t="shared" si="5"/>
        <v>1613.5661169423295</v>
      </c>
      <c r="AF38">
        <f t="shared" si="6"/>
        <v>1783.4151818836274</v>
      </c>
      <c r="AI38" s="6">
        <v>2568570.7416507811</v>
      </c>
      <c r="AJ38" s="6">
        <v>2838946.6091929688</v>
      </c>
      <c r="AK38" s="6">
        <f t="shared" si="7"/>
        <v>2729.6182164195338</v>
      </c>
      <c r="AL38" s="6">
        <f t="shared" si="8"/>
        <v>3016.9464497268532</v>
      </c>
    </row>
    <row r="39" spans="6:38" x14ac:dyDescent="0.3">
      <c r="F39" s="6">
        <v>1208504.1642445365</v>
      </c>
      <c r="G39" s="36">
        <f t="shared" si="4"/>
        <v>1208504.1642445365</v>
      </c>
      <c r="J39" s="6">
        <v>24155345.024637502</v>
      </c>
      <c r="AC39" s="6">
        <v>1148078.9560323097</v>
      </c>
      <c r="AD39" s="6">
        <v>1268929.3724567634</v>
      </c>
      <c r="AE39">
        <f t="shared" si="5"/>
        <v>1220.0626525316786</v>
      </c>
      <c r="AF39">
        <f t="shared" si="6"/>
        <v>1348.4903001665923</v>
      </c>
      <c r="AI39" s="6">
        <v>22947577.773405626</v>
      </c>
      <c r="AJ39" s="6">
        <v>25363112.275869377</v>
      </c>
      <c r="AK39" s="6">
        <f t="shared" si="7"/>
        <v>24386.37382933648</v>
      </c>
      <c r="AL39" s="6">
        <f t="shared" si="8"/>
        <v>26953.360548214005</v>
      </c>
    </row>
    <row r="40" spans="6:38" x14ac:dyDescent="0.3">
      <c r="F40" s="6">
        <v>5801857.515943069</v>
      </c>
      <c r="G40" s="36">
        <f t="shared" si="4"/>
        <v>5801857.515943069</v>
      </c>
      <c r="J40" s="6">
        <v>102892644.32771255</v>
      </c>
      <c r="AC40" s="6">
        <v>5511764.6401459156</v>
      </c>
      <c r="AD40" s="6">
        <v>6091950.3917402225</v>
      </c>
      <c r="AE40">
        <f t="shared" si="5"/>
        <v>5857.3481829393368</v>
      </c>
      <c r="AF40">
        <f t="shared" si="6"/>
        <v>6473.9111495645293</v>
      </c>
      <c r="AI40" s="6">
        <v>97748012.111326918</v>
      </c>
      <c r="AJ40" s="6">
        <v>108037276.54409818</v>
      </c>
      <c r="AK40" s="6">
        <f t="shared" si="7"/>
        <v>103876.73975698929</v>
      </c>
      <c r="AL40" s="6">
        <f t="shared" si="8"/>
        <v>114811.13341561976</v>
      </c>
    </row>
    <row r="41" spans="6:38" x14ac:dyDescent="0.3">
      <c r="F41" s="6">
        <v>2397319.5516464193</v>
      </c>
      <c r="G41" s="36">
        <f t="shared" si="4"/>
        <v>2397319.5516464193</v>
      </c>
      <c r="J41" s="6">
        <v>49086809.605625004</v>
      </c>
      <c r="AC41" s="6">
        <v>2277453.5740640983</v>
      </c>
      <c r="AD41" s="6">
        <v>2517185.5292287404</v>
      </c>
      <c r="AE41">
        <f t="shared" si="5"/>
        <v>2420.2482189841639</v>
      </c>
      <c r="AF41">
        <f t="shared" si="6"/>
        <v>2675.0111894035499</v>
      </c>
      <c r="AI41" s="6">
        <v>46632469.125343755</v>
      </c>
      <c r="AJ41" s="6">
        <v>51541150.085906252</v>
      </c>
      <c r="AK41" s="6">
        <f t="shared" si="7"/>
        <v>49556.290250099635</v>
      </c>
      <c r="AL41" s="6">
        <f t="shared" si="8"/>
        <v>54772.741855373279</v>
      </c>
    </row>
    <row r="42" spans="6:38" x14ac:dyDescent="0.3">
      <c r="F42" s="6">
        <v>3677580.8400938031</v>
      </c>
      <c r="G42" s="36">
        <f t="shared" si="4"/>
        <v>3677580.8400938031</v>
      </c>
      <c r="J42" s="6">
        <v>59267598.641753912</v>
      </c>
      <c r="AC42" s="6">
        <v>3493701.7980891126</v>
      </c>
      <c r="AD42" s="6">
        <v>3861459.8820984936</v>
      </c>
      <c r="AE42">
        <f t="shared" si="5"/>
        <v>3712.7543019012887</v>
      </c>
      <c r="AF42">
        <f t="shared" si="6"/>
        <v>4103.5705442066883</v>
      </c>
      <c r="AI42" s="6">
        <v>56304218.709666215</v>
      </c>
      <c r="AJ42" s="6">
        <v>62230978.573841609</v>
      </c>
      <c r="AK42" s="6">
        <f t="shared" si="7"/>
        <v>59834.451338646351</v>
      </c>
      <c r="AL42" s="6">
        <f t="shared" si="8"/>
        <v>66132.814637451229</v>
      </c>
    </row>
    <row r="43" spans="6:38" x14ac:dyDescent="0.3">
      <c r="F43" s="6">
        <v>1617768.477940267</v>
      </c>
      <c r="G43" s="36">
        <f t="shared" si="4"/>
        <v>1617768.477940267</v>
      </c>
      <c r="J43" s="6">
        <v>26965236.952306248</v>
      </c>
      <c r="AC43" s="6">
        <v>1536880.0540432534</v>
      </c>
      <c r="AD43" s="6">
        <v>1698656.9018372805</v>
      </c>
      <c r="AE43">
        <f t="shared" si="5"/>
        <v>1633.2412901628622</v>
      </c>
      <c r="AF43">
        <f t="shared" si="6"/>
        <v>1805.1614259694798</v>
      </c>
      <c r="AI43" s="6">
        <v>25616975.104690935</v>
      </c>
      <c r="AJ43" s="6">
        <v>28313498.799921561</v>
      </c>
      <c r="AK43" s="6">
        <f t="shared" si="7"/>
        <v>27223.140387556785</v>
      </c>
      <c r="AL43" s="6">
        <f t="shared" si="8"/>
        <v>30088.734112562764</v>
      </c>
    </row>
    <row r="44" spans="6:38" x14ac:dyDescent="0.3">
      <c r="F44" s="6">
        <v>1748191.9326710748</v>
      </c>
      <c r="G44" s="36">
        <f t="shared" si="4"/>
        <v>1748191.9326710748</v>
      </c>
      <c r="J44" s="6">
        <v>5154780.2360523436</v>
      </c>
      <c r="AC44" s="6">
        <v>1660782.336037521</v>
      </c>
      <c r="AD44" s="6">
        <v>1835601.5293046285</v>
      </c>
      <c r="AE44">
        <f t="shared" si="5"/>
        <v>1764.9121530685663</v>
      </c>
      <c r="AF44">
        <f t="shared" si="6"/>
        <v>1950.692379707363</v>
      </c>
      <c r="AI44" s="6">
        <v>4897041.2242497262</v>
      </c>
      <c r="AJ44" s="6">
        <v>5412519.2478549611</v>
      </c>
      <c r="AK44" s="6">
        <f t="shared" si="7"/>
        <v>5204.0820661527378</v>
      </c>
      <c r="AL44" s="6">
        <f t="shared" si="8"/>
        <v>5751.8801783793424</v>
      </c>
    </row>
    <row r="45" spans="6:38" x14ac:dyDescent="0.3">
      <c r="F45" s="6">
        <v>2865050.1958701108</v>
      </c>
      <c r="G45" s="36">
        <f t="shared" si="4"/>
        <v>2865050.1958701108</v>
      </c>
      <c r="J45" s="6">
        <v>14900556.22405</v>
      </c>
      <c r="AC45" s="6">
        <v>2721797.6860766052</v>
      </c>
      <c r="AD45" s="6">
        <v>3008302.7056636163</v>
      </c>
      <c r="AE45">
        <f t="shared" si="5"/>
        <v>2892.452376276945</v>
      </c>
      <c r="AF45">
        <f t="shared" si="6"/>
        <v>3196.9210474639917</v>
      </c>
      <c r="AI45" s="6">
        <v>14155528.4128475</v>
      </c>
      <c r="AJ45" s="6">
        <v>15645584.0352525</v>
      </c>
      <c r="AK45" s="6">
        <f t="shared" si="7"/>
        <v>15043.069514184379</v>
      </c>
      <c r="AL45" s="6">
        <f t="shared" si="8"/>
        <v>16626.550515677471</v>
      </c>
    </row>
    <row r="46" spans="6:38" x14ac:dyDescent="0.3">
      <c r="F46" s="6">
        <v>1111060.2800312676</v>
      </c>
      <c r="G46" s="36">
        <f t="shared" si="4"/>
        <v>1111060.2800312676</v>
      </c>
      <c r="J46" s="6">
        <v>199669.28572500002</v>
      </c>
      <c r="AC46" s="6">
        <v>1055507.2660297041</v>
      </c>
      <c r="AD46" s="6">
        <v>1166613.294032831</v>
      </c>
      <c r="AE46">
        <f t="shared" si="5"/>
        <v>1121.6867864290161</v>
      </c>
      <c r="AF46">
        <f t="shared" si="6"/>
        <v>1239.7590797373336</v>
      </c>
      <c r="AI46" s="6">
        <v>189685.82143875002</v>
      </c>
      <c r="AJ46" s="6">
        <v>209652.75001125003</v>
      </c>
      <c r="AK46" s="6">
        <f t="shared" si="7"/>
        <v>201.5789813376727</v>
      </c>
      <c r="AL46" s="6">
        <f t="shared" si="8"/>
        <v>222.79782147848036</v>
      </c>
    </row>
    <row r="47" spans="6:38" x14ac:dyDescent="0.3">
      <c r="F47" s="6">
        <v>2391321.5684786509</v>
      </c>
      <c r="G47" s="36">
        <f t="shared" si="4"/>
        <v>2391321.5684786509</v>
      </c>
      <c r="J47" s="6">
        <v>17275860.343926955</v>
      </c>
      <c r="AC47" s="6">
        <v>2271755.4900547182</v>
      </c>
      <c r="AD47" s="6">
        <v>2510887.6469025835</v>
      </c>
      <c r="AE47">
        <f t="shared" si="5"/>
        <v>2414.1928693461405</v>
      </c>
      <c r="AF47">
        <f t="shared" si="6"/>
        <v>2668.3184345404716</v>
      </c>
      <c r="AI47" s="6">
        <v>16412067.326730607</v>
      </c>
      <c r="AJ47" s="6">
        <v>18139653.361123305</v>
      </c>
      <c r="AK47" s="6">
        <f t="shared" si="7"/>
        <v>17441.0917393524</v>
      </c>
      <c r="AL47" s="6">
        <f t="shared" si="8"/>
        <v>19276.996132968445</v>
      </c>
    </row>
    <row r="48" spans="6:38" x14ac:dyDescent="0.3">
      <c r="F48" s="6">
        <v>935661.28844738309</v>
      </c>
      <c r="G48" s="36">
        <f t="shared" si="4"/>
        <v>935661.28844738309</v>
      </c>
      <c r="J48" s="6">
        <v>11322339.810468752</v>
      </c>
      <c r="AC48" s="6">
        <v>888878.22402501386</v>
      </c>
      <c r="AD48" s="6">
        <v>982444.35286975233</v>
      </c>
      <c r="AE48">
        <f t="shared" si="5"/>
        <v>944.61022744422303</v>
      </c>
      <c r="AF48">
        <f t="shared" si="6"/>
        <v>1044.0428829646678</v>
      </c>
      <c r="AI48" s="6">
        <v>10756222.819945313</v>
      </c>
      <c r="AJ48" s="6">
        <v>11888456.800992191</v>
      </c>
      <c r="AK48" s="6">
        <f t="shared" si="7"/>
        <v>11430.629989314892</v>
      </c>
      <c r="AL48" s="6">
        <f t="shared" si="8"/>
        <v>12633.854198716463</v>
      </c>
    </row>
    <row r="49" spans="6:38" x14ac:dyDescent="0.3">
      <c r="F49" s="6">
        <v>4916317.0786002222</v>
      </c>
      <c r="G49" s="36">
        <f t="shared" si="4"/>
        <v>4916317.0786002222</v>
      </c>
      <c r="J49" s="6">
        <v>47387332.023285218</v>
      </c>
      <c r="AC49" s="6">
        <v>4670501.2246702109</v>
      </c>
      <c r="AD49" s="6">
        <v>5162132.9325302336</v>
      </c>
      <c r="AE49">
        <f t="shared" si="5"/>
        <v>4963.3381771203094</v>
      </c>
      <c r="AF49">
        <f t="shared" si="6"/>
        <v>5485.7948273435004</v>
      </c>
      <c r="AI49" s="6">
        <v>45017965.422120951</v>
      </c>
      <c r="AJ49" s="6">
        <v>49756698.624449484</v>
      </c>
      <c r="AK49" s="6">
        <f t="shared" si="7"/>
        <v>47840.558365697078</v>
      </c>
      <c r="AL49" s="6">
        <f t="shared" si="8"/>
        <v>52876.406614717838</v>
      </c>
    </row>
    <row r="50" spans="6:38" x14ac:dyDescent="0.3">
      <c r="F50" s="6">
        <v>2106156.8788715303</v>
      </c>
      <c r="G50" s="36">
        <f t="shared" si="4"/>
        <v>2106156.8788715303</v>
      </c>
      <c r="J50" s="6">
        <v>12678785.962372078</v>
      </c>
      <c r="AC50" s="6">
        <v>2000849.0349279537</v>
      </c>
      <c r="AD50" s="6">
        <v>2211464.7228151071</v>
      </c>
      <c r="AE50">
        <f t="shared" si="5"/>
        <v>2126.3007810073896</v>
      </c>
      <c r="AF50">
        <f t="shared" si="6"/>
        <v>2350.1219158502731</v>
      </c>
      <c r="AI50" s="6">
        <v>12044846.664253473</v>
      </c>
      <c r="AJ50" s="6">
        <v>13312725.260490682</v>
      </c>
      <c r="AK50" s="6">
        <f t="shared" si="7"/>
        <v>12800.049590067452</v>
      </c>
      <c r="AL50" s="6">
        <f t="shared" si="8"/>
        <v>14147.423231127186</v>
      </c>
    </row>
    <row r="51" spans="6:38" x14ac:dyDescent="0.3">
      <c r="F51" s="6">
        <v>3929949.8629897861</v>
      </c>
      <c r="G51" s="36">
        <f t="shared" si="4"/>
        <v>3929949.8629897861</v>
      </c>
      <c r="J51" s="6">
        <v>44929900.635724999</v>
      </c>
      <c r="AC51" s="6">
        <v>3733452.3698402965</v>
      </c>
      <c r="AD51" s="6">
        <v>4126447.3561392757</v>
      </c>
      <c r="AE51">
        <f t="shared" si="5"/>
        <v>3967.5370561533437</v>
      </c>
      <c r="AF51">
        <f t="shared" si="6"/>
        <v>4385.1725357484329</v>
      </c>
      <c r="AI51" s="6">
        <v>42683405.603938743</v>
      </c>
      <c r="AJ51" s="6">
        <v>47176395.667511255</v>
      </c>
      <c r="AK51" s="6">
        <f t="shared" si="7"/>
        <v>45359.623383569335</v>
      </c>
      <c r="AL51" s="6">
        <f t="shared" si="8"/>
        <v>50134.320581839806</v>
      </c>
    </row>
    <row r="52" spans="6:38" x14ac:dyDescent="0.3">
      <c r="F52" s="6">
        <v>2740246.9330445123</v>
      </c>
      <c r="G52" s="36">
        <f t="shared" si="4"/>
        <v>2740246.9330445123</v>
      </c>
      <c r="J52" s="6">
        <v>3243143.8672937495</v>
      </c>
      <c r="AC52" s="6">
        <v>2603234.5863922867</v>
      </c>
      <c r="AD52" s="6">
        <v>2877259.2796967379</v>
      </c>
      <c r="AE52">
        <f t="shared" si="5"/>
        <v>2766.4554584402622</v>
      </c>
      <c r="AF52">
        <f t="shared" si="6"/>
        <v>3057.6612961708161</v>
      </c>
      <c r="AI52" s="6">
        <v>3080986.6739290617</v>
      </c>
      <c r="AJ52" s="6">
        <v>3405301.0606584372</v>
      </c>
      <c r="AK52" s="6">
        <f t="shared" si="7"/>
        <v>3274.1622464708412</v>
      </c>
      <c r="AL52" s="6">
        <f t="shared" si="8"/>
        <v>3618.8109039940882</v>
      </c>
    </row>
    <row r="53" spans="6:38" x14ac:dyDescent="0.3">
      <c r="F53" s="6">
        <v>1684027.8613435312</v>
      </c>
      <c r="G53" s="36">
        <f t="shared" si="4"/>
        <v>1684027.8613435312</v>
      </c>
      <c r="J53" s="6">
        <v>512780.90517499996</v>
      </c>
      <c r="AC53" s="6">
        <v>1599826.4682763545</v>
      </c>
      <c r="AD53" s="6">
        <v>1768229.2544107079</v>
      </c>
      <c r="AE53">
        <f t="shared" si="5"/>
        <v>1700.1343977432034</v>
      </c>
      <c r="AF53">
        <f t="shared" si="6"/>
        <v>1879.09591329512</v>
      </c>
      <c r="AI53" s="6">
        <v>487141.85991624993</v>
      </c>
      <c r="AJ53" s="6">
        <v>538419.95043374994</v>
      </c>
      <c r="AK53" s="6">
        <f t="shared" si="7"/>
        <v>517.68529215329431</v>
      </c>
      <c r="AL53" s="6">
        <f t="shared" si="8"/>
        <v>572.17848080100953</v>
      </c>
    </row>
    <row r="54" spans="6:38" x14ac:dyDescent="0.3">
      <c r="F54" s="6">
        <v>721291.91794167319</v>
      </c>
      <c r="G54" s="36">
        <f t="shared" si="4"/>
        <v>721291.91794167319</v>
      </c>
      <c r="J54" s="6">
        <v>2968632.281825</v>
      </c>
      <c r="AC54" s="6">
        <v>685227.32204458956</v>
      </c>
      <c r="AD54" s="6">
        <v>757356.51383875683</v>
      </c>
      <c r="AE54">
        <f t="shared" si="5"/>
        <v>728.19056540338954</v>
      </c>
      <c r="AF54">
        <f t="shared" si="6"/>
        <v>804.84220386690413</v>
      </c>
      <c r="AI54" s="6">
        <v>2820200.6677337498</v>
      </c>
      <c r="AJ54" s="6">
        <v>3117063.8959162501</v>
      </c>
      <c r="AK54" s="6">
        <f t="shared" si="7"/>
        <v>2997.0251516830499</v>
      </c>
      <c r="AL54" s="6">
        <f t="shared" si="8"/>
        <v>3312.5014834391604</v>
      </c>
    </row>
    <row r="55" spans="6:38" x14ac:dyDescent="0.3">
      <c r="F55" s="6">
        <v>453121.46726641641</v>
      </c>
      <c r="G55" s="36">
        <f t="shared" si="4"/>
        <v>453121.46726641641</v>
      </c>
      <c r="J55" s="6">
        <v>247363.56855000003</v>
      </c>
      <c r="AC55" s="6">
        <v>430465.39390309557</v>
      </c>
      <c r="AD55" s="6">
        <v>475777.54062973725</v>
      </c>
      <c r="AE55">
        <f t="shared" si="5"/>
        <v>457.45525388214196</v>
      </c>
      <c r="AF55">
        <f t="shared" si="6"/>
        <v>505.60843850131482</v>
      </c>
      <c r="AI55" s="6">
        <v>234995.39012250002</v>
      </c>
      <c r="AJ55" s="6">
        <v>259731.74697750004</v>
      </c>
      <c r="AK55" s="6">
        <f t="shared" si="7"/>
        <v>249.72942627258237</v>
      </c>
      <c r="AL55" s="6">
        <f t="shared" si="8"/>
        <v>276.01673430127528</v>
      </c>
    </row>
    <row r="56" spans="6:38" x14ac:dyDescent="0.3">
      <c r="F56" s="6">
        <v>932606.29983073112</v>
      </c>
      <c r="G56" s="36">
        <f t="shared" si="4"/>
        <v>932606.29983073112</v>
      </c>
      <c r="J56" s="6">
        <v>12540073.365283659</v>
      </c>
      <c r="AC56" s="6">
        <v>885975.98483919457</v>
      </c>
      <c r="AD56" s="6">
        <v>979236.61482226767</v>
      </c>
      <c r="AE56">
        <f t="shared" si="5"/>
        <v>941.52602002039805</v>
      </c>
      <c r="AF56">
        <f t="shared" si="6"/>
        <v>1040.6340221278083</v>
      </c>
      <c r="AI56" s="6">
        <v>11913069.697019475</v>
      </c>
      <c r="AJ56" s="6">
        <v>13167077.033547843</v>
      </c>
      <c r="AK56" s="6">
        <f t="shared" si="7"/>
        <v>12660.010305015383</v>
      </c>
      <c r="AL56" s="6">
        <f t="shared" si="8"/>
        <v>13992.642968701215</v>
      </c>
    </row>
    <row r="57" spans="6:38" x14ac:dyDescent="0.3">
      <c r="F57" s="6">
        <v>253583.4542958817</v>
      </c>
      <c r="G57" s="36">
        <f t="shared" si="4"/>
        <v>253583.4542958817</v>
      </c>
      <c r="J57" s="6">
        <v>2186108.2571093747</v>
      </c>
      <c r="AC57" s="6">
        <v>240904.28158108762</v>
      </c>
      <c r="AD57" s="6">
        <v>266262.62701067579</v>
      </c>
      <c r="AE57">
        <f t="shared" si="5"/>
        <v>256.0088008300612</v>
      </c>
      <c r="AF57">
        <f t="shared" si="6"/>
        <v>282.95709565427819</v>
      </c>
      <c r="AI57" s="6">
        <v>2076802.8442539058</v>
      </c>
      <c r="AJ57" s="6">
        <v>2295413.6699648434</v>
      </c>
      <c r="AK57" s="6">
        <f t="shared" si="7"/>
        <v>2207.0168376768393</v>
      </c>
      <c r="AL57" s="6">
        <f t="shared" si="8"/>
        <v>2439.3343995375594</v>
      </c>
    </row>
    <row r="58" spans="6:38" x14ac:dyDescent="0.3">
      <c r="F58" s="6">
        <v>1482099.5965867988</v>
      </c>
      <c r="G58" s="36">
        <f t="shared" si="4"/>
        <v>1482099.5965867988</v>
      </c>
      <c r="J58" s="6">
        <v>17295102.932420254</v>
      </c>
      <c r="AC58" s="6">
        <v>1407994.6167574588</v>
      </c>
      <c r="AD58" s="6">
        <v>1556204.5764161388</v>
      </c>
      <c r="AE58">
        <f t="shared" si="5"/>
        <v>1496.2748318357692</v>
      </c>
      <c r="AF58">
        <f t="shared" si="6"/>
        <v>1653.7774457132186</v>
      </c>
      <c r="AI58" s="6">
        <v>16430347.785799241</v>
      </c>
      <c r="AJ58" s="6">
        <v>18159858.079041269</v>
      </c>
      <c r="AK58" s="6">
        <f t="shared" si="7"/>
        <v>17460.518369605994</v>
      </c>
      <c r="AL58" s="6">
        <f t="shared" si="8"/>
        <v>19298.467671669787</v>
      </c>
    </row>
    <row r="59" spans="6:38" x14ac:dyDescent="0.3">
      <c r="F59" s="6">
        <v>561386.48429573793</v>
      </c>
      <c r="G59" s="36">
        <f t="shared" si="4"/>
        <v>561386.48429573793</v>
      </c>
      <c r="J59" s="6">
        <v>9710232.632100001</v>
      </c>
      <c r="AC59" s="6">
        <v>533317.16008095106</v>
      </c>
      <c r="AD59" s="6">
        <v>589455.8085105248</v>
      </c>
      <c r="AE59">
        <f t="shared" si="5"/>
        <v>566.75574928900221</v>
      </c>
      <c r="AF59">
        <f t="shared" si="6"/>
        <v>626.41424921416024</v>
      </c>
      <c r="AI59" s="6">
        <v>9224721.0004949998</v>
      </c>
      <c r="AJ59" s="6">
        <v>10195744.263705002</v>
      </c>
      <c r="AK59" s="6">
        <f t="shared" si="7"/>
        <v>9803.1041450531357</v>
      </c>
      <c r="AL59" s="6">
        <f t="shared" si="8"/>
        <v>10835.009844532415</v>
      </c>
    </row>
    <row r="60" spans="6:38" x14ac:dyDescent="0.3">
      <c r="F60" s="6">
        <v>1884506.3038071515</v>
      </c>
      <c r="G60" s="36">
        <f t="shared" si="4"/>
        <v>1884506.3038071515</v>
      </c>
      <c r="J60" s="6">
        <v>10404359.595699999</v>
      </c>
      <c r="AC60" s="6">
        <v>1790280.9886167939</v>
      </c>
      <c r="AD60" s="6">
        <v>1978731.6189975091</v>
      </c>
      <c r="AE60">
        <f t="shared" si="5"/>
        <v>1902.5302748318745</v>
      </c>
      <c r="AF60">
        <f t="shared" si="6"/>
        <v>2102.7966195510194</v>
      </c>
      <c r="AI60" s="6">
        <v>9884141.6159149986</v>
      </c>
      <c r="AJ60" s="6">
        <v>10924577.575485</v>
      </c>
      <c r="AK60" s="6">
        <f t="shared" si="7"/>
        <v>10503.869942523908</v>
      </c>
      <c r="AL60" s="6">
        <f t="shared" si="8"/>
        <v>11609.540462789586</v>
      </c>
    </row>
    <row r="61" spans="6:38" x14ac:dyDescent="0.3">
      <c r="F61" s="6">
        <v>68409.15144796815</v>
      </c>
      <c r="G61" s="36">
        <f t="shared" si="4"/>
        <v>68409.15144796815</v>
      </c>
      <c r="J61" s="6">
        <v>842598.99657500023</v>
      </c>
      <c r="AC61" s="6">
        <v>64988.693875569741</v>
      </c>
      <c r="AD61" s="6">
        <v>71829.609020366566</v>
      </c>
      <c r="AE61">
        <f t="shared" si="5"/>
        <v>69.063436637162312</v>
      </c>
      <c r="AF61">
        <f t="shared" si="6"/>
        <v>76.333272072653102</v>
      </c>
      <c r="AI61" s="6">
        <v>800469.04674625013</v>
      </c>
      <c r="AJ61" s="6">
        <v>884728.94640375033</v>
      </c>
      <c r="AK61" s="6">
        <f t="shared" si="7"/>
        <v>850.65786051673763</v>
      </c>
      <c r="AL61" s="6">
        <f t="shared" si="8"/>
        <v>940.2007932027102</v>
      </c>
    </row>
    <row r="62" spans="6:38" x14ac:dyDescent="0.3">
      <c r="F62" s="6">
        <v>576161.02973573108</v>
      </c>
      <c r="G62" s="36">
        <f t="shared" si="4"/>
        <v>576161.02973573108</v>
      </c>
      <c r="J62" s="6">
        <v>1496576.53565</v>
      </c>
      <c r="AC62" s="6">
        <v>547352.97824894451</v>
      </c>
      <c r="AD62" s="6">
        <v>604969.08122251765</v>
      </c>
      <c r="AE62">
        <f t="shared" si="5"/>
        <v>581.67160281503141</v>
      </c>
      <c r="AF62">
        <f t="shared" si="6"/>
        <v>642.90019258503469</v>
      </c>
      <c r="AI62" s="6">
        <v>1421747.7088674998</v>
      </c>
      <c r="AJ62" s="6">
        <v>1571405.3624325001</v>
      </c>
      <c r="AK62" s="6">
        <f t="shared" si="7"/>
        <v>1510.8902325903293</v>
      </c>
      <c r="AL62" s="6">
        <f t="shared" si="8"/>
        <v>1669.9313097051011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Montenegro Dos Santos</dc:creator>
  <cp:lastModifiedBy>Julian Urrejola</cp:lastModifiedBy>
  <dcterms:created xsi:type="dcterms:W3CDTF">2024-06-30T03:11:13Z</dcterms:created>
  <dcterms:modified xsi:type="dcterms:W3CDTF">2026-07-17T17:21:18Z</dcterms:modified>
</cp:coreProperties>
</file>